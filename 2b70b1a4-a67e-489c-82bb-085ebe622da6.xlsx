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059633\Desktop\"/>
    </mc:Choice>
  </mc:AlternateContent>
  <xr:revisionPtr revIDLastSave="0" documentId="13_ncr:1_{3C10CE41-D847-4FAA-8D99-05DF2E1DE3E2}" xr6:coauthVersionLast="36" xr6:coauthVersionMax="36" xr10:uidLastSave="{00000000-0000-0000-0000-000000000000}"/>
  <bookViews>
    <workbookView xWindow="240" yWindow="15" windowWidth="16095" windowHeight="9660" activeTab="1" xr2:uid="{00000000-000D-0000-FFFF-FFFF00000000}"/>
  </bookViews>
  <sheets>
    <sheet name="Raw data" sheetId="1" r:id="rId1"/>
    <sheet name="Ark1" sheetId="2" r:id="rId2"/>
  </sheets>
  <calcPr calcId="191029"/>
</workbook>
</file>

<file path=xl/calcChain.xml><?xml version="1.0" encoding="utf-8"?>
<calcChain xmlns="http://schemas.openxmlformats.org/spreadsheetml/2006/main">
  <c r="K4" i="2" l="1"/>
  <c r="K5" i="2"/>
  <c r="K6" i="2" s="1"/>
  <c r="K7" i="2" s="1"/>
  <c r="K8" i="2" s="1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J5" i="2"/>
  <c r="J6" i="2"/>
  <c r="J7" i="2" s="1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4" i="2"/>
  <c r="K3" i="2"/>
  <c r="J3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3" i="2"/>
  <c r="C28" i="2"/>
  <c r="B28" i="2"/>
  <c r="C26" i="2"/>
  <c r="B26" i="2"/>
  <c r="AX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Z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E30" i="1"/>
  <c r="D30" i="1"/>
</calcChain>
</file>

<file path=xl/sharedStrings.xml><?xml version="1.0" encoding="utf-8"?>
<sst xmlns="http://schemas.openxmlformats.org/spreadsheetml/2006/main" count="324" uniqueCount="39">
  <si>
    <t>Paritet</t>
  </si>
  <si>
    <t>Total</t>
  </si>
  <si>
    <t>1 (Førstegangsfødende)</t>
  </si>
  <si>
    <t>2 (Flergangsfødende)</t>
  </si>
  <si>
    <t>3 (Flergangsfødende)</t>
  </si>
  <si>
    <t>4+ (Flergangsfødende)</t>
  </si>
  <si>
    <t>Ukendt</t>
  </si>
  <si>
    <t>År</t>
  </si>
  <si>
    <t>Graviditetslængde (niveau 2)</t>
  </si>
  <si>
    <t>&lt;22</t>
  </si>
  <si>
    <t>22+0 til 22+6</t>
  </si>
  <si>
    <t>23+0 til 23+6</t>
  </si>
  <si>
    <t>24+0 til 24+6</t>
  </si>
  <si>
    <t>25+0 til 25+6</t>
  </si>
  <si>
    <t>26+0 til 26+6</t>
  </si>
  <si>
    <t>27+0 til 27+6</t>
  </si>
  <si>
    <t>28+0 til 28+6</t>
  </si>
  <si>
    <t>29+0 til 29+6</t>
  </si>
  <si>
    <t>30+0 til 30+6</t>
  </si>
  <si>
    <t>31+0 til 31+6</t>
  </si>
  <si>
    <t>32+0 til 32+6</t>
  </si>
  <si>
    <t>33+0 til 33+6</t>
  </si>
  <si>
    <t>34+0 til 34+6</t>
  </si>
  <si>
    <t>35+0 til 35+6</t>
  </si>
  <si>
    <t>36+0 til 36+6</t>
  </si>
  <si>
    <t>37+0 til 37+6</t>
  </si>
  <si>
    <t>38+0 til 38+6</t>
  </si>
  <si>
    <t>39+0 til 39+6</t>
  </si>
  <si>
    <t>40+0 til 40+6</t>
  </si>
  <si>
    <t>41+0 til 41+6</t>
  </si>
  <si>
    <t>42+</t>
  </si>
  <si>
    <t>I alt</t>
  </si>
  <si>
    <t>Korrekt sum</t>
  </si>
  <si>
    <t>Afvigelse</t>
  </si>
  <si>
    <t>Førstegangsfødende</t>
  </si>
  <si>
    <t>Andengangsfødende</t>
  </si>
  <si>
    <t>Antal</t>
  </si>
  <si>
    <t>Andel</t>
  </si>
  <si>
    <t>Kumulativ andel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</si>
</sst>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AFB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ysClr val="windowText" lastClr="000000"/>
                </a:solidFill>
                <a:latin typeface="Comic Sans MS" panose="030F0702030302020204" pitchFamily="66" charset="0"/>
                <a:ea typeface="+mn-ea"/>
                <a:cs typeface="+mn-cs"/>
              </a:defRPr>
            </a:pPr>
            <a:r>
              <a:rPr lang="da-DK" sz="2400" b="1">
                <a:solidFill>
                  <a:schemeClr val="accent5">
                    <a:lumMod val="60000"/>
                    <a:lumOff val="40000"/>
                  </a:schemeClr>
                </a:solidFill>
                <a:latin typeface="+mn-lt"/>
                <a:cs typeface="Arial" panose="020B0604020202020204" pitchFamily="34" charset="0"/>
              </a:rPr>
              <a:t>7</a:t>
            </a:r>
            <a:r>
              <a:rPr lang="da-DK" sz="2400" b="1">
                <a:latin typeface="+mn-lt"/>
                <a:cs typeface="Arial" panose="020B0604020202020204" pitchFamily="34" charset="0"/>
              </a:rPr>
              <a:t> ud af </a:t>
            </a:r>
            <a:r>
              <a:rPr lang="da-DK" sz="2400" b="1">
                <a:solidFill>
                  <a:schemeClr val="accent5">
                    <a:lumMod val="60000"/>
                    <a:lumOff val="40000"/>
                  </a:schemeClr>
                </a:solidFill>
                <a:latin typeface="+mn-lt"/>
                <a:cs typeface="Arial" panose="020B0604020202020204" pitchFamily="34" charset="0"/>
              </a:rPr>
              <a:t>10</a:t>
            </a:r>
            <a:r>
              <a:rPr lang="da-DK" sz="2400" b="1">
                <a:latin typeface="+mn-lt"/>
                <a:cs typeface="Arial" panose="020B0604020202020204" pitchFamily="34" charset="0"/>
              </a:rPr>
              <a:t> førstegangsfødende har</a:t>
            </a:r>
            <a:r>
              <a:rPr lang="da-DK" sz="2400" b="1" baseline="0">
                <a:latin typeface="+mn-lt"/>
                <a:cs typeface="Arial" panose="020B0604020202020204" pitchFamily="34" charset="0"/>
              </a:rPr>
              <a:t> født ved udgangen af uge 40</a:t>
            </a:r>
            <a:endParaRPr lang="da-DK" sz="2400" b="0">
              <a:latin typeface="+mn-lt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ysClr val="windowText" lastClr="000000"/>
              </a:solidFill>
              <a:latin typeface="Comic Sans MS" panose="030F0702030302020204" pitchFamily="66" charset="0"/>
              <a:ea typeface="+mn-ea"/>
              <a:cs typeface="+mn-cs"/>
            </a:defRPr>
          </a:pPr>
          <a:endParaRPr lang="da-DK"/>
        </a:p>
      </c:txPr>
    </c:title>
    <c:autoTitleDeleted val="0"/>
    <c:plotArea>
      <c:layout>
        <c:manualLayout>
          <c:layoutTarget val="inner"/>
          <c:xMode val="edge"/>
          <c:yMode val="edge"/>
          <c:x val="0.15255617979186423"/>
          <c:y val="0.23742441069668188"/>
          <c:w val="0.79442691820488365"/>
          <c:h val="0.579239385885005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'Ark1'!$J$2</c:f>
              <c:strCache>
                <c:ptCount val="1"/>
                <c:pt idx="0">
                  <c:v>Førstegangsfødende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Comic Sans MS" panose="030F0702030302020204" pitchFamily="66" charset="0"/>
                    <a:ea typeface="+mn-ea"/>
                    <a:cs typeface="+mn-cs"/>
                  </a:defRPr>
                </a:pPr>
                <a:endParaRPr lang="da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'Ark1'!$I$17:$I$24</c:f>
              <c:strCache>
                <c:ptCount val="8"/>
                <c:pt idx="0">
                  <c:v>35+0 til 35+6</c:v>
                </c:pt>
                <c:pt idx="1">
                  <c:v>36+0 til 36+6</c:v>
                </c:pt>
                <c:pt idx="2">
                  <c:v>37+0 til 37+6</c:v>
                </c:pt>
                <c:pt idx="3">
                  <c:v>38+0 til 38+6</c:v>
                </c:pt>
                <c:pt idx="4">
                  <c:v>39+0 til 39+6</c:v>
                </c:pt>
                <c:pt idx="5">
                  <c:v>40+0 til 40+6</c:v>
                </c:pt>
                <c:pt idx="6">
                  <c:v>41+0 til 41+6</c:v>
                </c:pt>
                <c:pt idx="7">
                  <c:v>42+</c:v>
                </c:pt>
              </c:strCache>
            </c:strRef>
          </c:cat>
          <c:val>
            <c:numRef>
              <c:f>'Ark1'!$J$17:$J$24</c:f>
              <c:numCache>
                <c:formatCode>General</c:formatCode>
                <c:ptCount val="8"/>
                <c:pt idx="0">
                  <c:v>4.7724029728614809E-2</c:v>
                </c:pt>
                <c:pt idx="1">
                  <c:v>7.3097497142779855E-2</c:v>
                </c:pt>
                <c:pt idx="2">
                  <c:v>0.12600171771341237</c:v>
                </c:pt>
                <c:pt idx="3">
                  <c:v>0.24441574074700245</c:v>
                </c:pt>
                <c:pt idx="4">
                  <c:v>0.44986508510796575</c:v>
                </c:pt>
                <c:pt idx="5">
                  <c:v>0.72225791399260175</c:v>
                </c:pt>
                <c:pt idx="6">
                  <c:v>0.93657309411581724</c:v>
                </c:pt>
                <c:pt idx="7">
                  <c:v>0.99489419832151005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A7-40EF-B59B-59CC1828B061}"/>
            </c:ext>
          </c:extLst>
        </c:ser>
        <c:ser>
          <c:idx val="1"/>
          <c:order val="1"/>
          <c:tx>
            <c:strRef>
              <c:f>'Ark1'!$K$2</c:f>
              <c:strCache>
                <c:ptCount val="1"/>
                <c:pt idx="0">
                  <c:v>Andengangsfødende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 w="25400" cap="sq"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Comic Sans MS" panose="030F0702030302020204" pitchFamily="66" charset="0"/>
                    <a:ea typeface="+mn-ea"/>
                    <a:cs typeface="+mn-cs"/>
                  </a:defRPr>
                </a:pPr>
                <a:endParaRPr lang="da-D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'Ark1'!$I$17:$I$24</c:f>
              <c:strCache>
                <c:ptCount val="8"/>
                <c:pt idx="0">
                  <c:v>35+0 til 35+6</c:v>
                </c:pt>
                <c:pt idx="1">
                  <c:v>36+0 til 36+6</c:v>
                </c:pt>
                <c:pt idx="2">
                  <c:v>37+0 til 37+6</c:v>
                </c:pt>
                <c:pt idx="3">
                  <c:v>38+0 til 38+6</c:v>
                </c:pt>
                <c:pt idx="4">
                  <c:v>39+0 til 39+6</c:v>
                </c:pt>
                <c:pt idx="5">
                  <c:v>40+0 til 40+6</c:v>
                </c:pt>
                <c:pt idx="6">
                  <c:v>41+0 til 41+6</c:v>
                </c:pt>
                <c:pt idx="7">
                  <c:v>42+</c:v>
                </c:pt>
              </c:strCache>
            </c:strRef>
          </c:cat>
          <c:val>
            <c:numRef>
              <c:f>'Ark1'!$K$17:$K$24</c:f>
              <c:numCache>
                <c:formatCode>General</c:formatCode>
                <c:ptCount val="8"/>
                <c:pt idx="0">
                  <c:v>2.7751787879034422E-2</c:v>
                </c:pt>
                <c:pt idx="1">
                  <c:v>4.5496334746279829E-2</c:v>
                </c:pt>
                <c:pt idx="2">
                  <c:v>9.3132429156056018E-2</c:v>
                </c:pt>
                <c:pt idx="3">
                  <c:v>0.22799423973444199</c:v>
                </c:pt>
                <c:pt idx="4">
                  <c:v>0.45858385335730734</c:v>
                </c:pt>
                <c:pt idx="5">
                  <c:v>0.75362660787073577</c:v>
                </c:pt>
                <c:pt idx="6">
                  <c:v>0.9559030518017102</c:v>
                </c:pt>
                <c:pt idx="7">
                  <c:v>0.99268576449626156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A7-40EF-B59B-59CC1828B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803377599"/>
        <c:axId val="1810381647"/>
      </c:barChart>
      <c:catAx>
        <c:axId val="1803377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a-DK" sz="1200">
                    <a:latin typeface="Arial" panose="020B0604020202020204" pitchFamily="34" charset="0"/>
                    <a:cs typeface="Arial" panose="020B0604020202020204" pitchFamily="34" charset="0"/>
                  </a:rPr>
                  <a:t>Graviditetsuge</a:t>
                </a:r>
              </a:p>
            </c:rich>
          </c:tx>
          <c:layout>
            <c:manualLayout>
              <c:xMode val="edge"/>
              <c:yMode val="edge"/>
              <c:x val="0.48868089830991773"/>
              <c:y val="0.877216433524256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Comic Sans MS" panose="030F0702030302020204" pitchFamily="66" charset="0"/>
                <a:ea typeface="+mn-ea"/>
                <a:cs typeface="+mn-cs"/>
              </a:defRPr>
            </a:pPr>
            <a:endParaRPr lang="da-DK"/>
          </a:p>
        </c:txPr>
        <c:crossAx val="1810381647"/>
        <c:crosses val="autoZero"/>
        <c:auto val="1"/>
        <c:lblAlgn val="ctr"/>
        <c:lblOffset val="100"/>
        <c:noMultiLvlLbl val="0"/>
      </c:catAx>
      <c:valAx>
        <c:axId val="181038164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Comic Sans MS" panose="030F0702030302020204" pitchFamily="66" charset="0"/>
                    <a:ea typeface="+mn-ea"/>
                    <a:cs typeface="+mn-cs"/>
                  </a:defRPr>
                </a:pPr>
                <a:r>
                  <a:rPr lang="da-DK" sz="1100">
                    <a:latin typeface="Arial" panose="020B0604020202020204" pitchFamily="34" charset="0"/>
                    <a:cs typeface="Arial" panose="020B0604020202020204" pitchFamily="34" charset="0"/>
                  </a:rPr>
                  <a:t>Andel der </a:t>
                </a:r>
                <a:br>
                  <a:rPr lang="da-DK" sz="1100">
                    <a:latin typeface="Arial" panose="020B0604020202020204" pitchFamily="34" charset="0"/>
                    <a:cs typeface="Arial" panose="020B0604020202020204" pitchFamily="34" charset="0"/>
                  </a:rPr>
                </a:br>
                <a:r>
                  <a:rPr lang="da-DK" sz="1100">
                    <a:latin typeface="Arial" panose="020B0604020202020204" pitchFamily="34" charset="0"/>
                    <a:cs typeface="Arial" panose="020B0604020202020204" pitchFamily="34" charset="0"/>
                  </a:rPr>
                  <a:t>har født (i %)</a:t>
                </a:r>
              </a:p>
            </c:rich>
          </c:tx>
          <c:layout>
            <c:manualLayout>
              <c:xMode val="edge"/>
              <c:yMode val="edge"/>
              <c:x val="9.3118449019961663E-2"/>
              <c:y val="0.159368414922778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Comic Sans MS" panose="030F0702030302020204" pitchFamily="66" charset="0"/>
                  <a:ea typeface="+mn-ea"/>
                  <a:cs typeface="+mn-cs"/>
                </a:defRPr>
              </a:pPr>
              <a:endParaRPr lang="da-DK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Comic Sans MS" panose="030F0702030302020204" pitchFamily="66" charset="0"/>
                <a:ea typeface="+mn-ea"/>
                <a:cs typeface="+mn-cs"/>
              </a:defRPr>
            </a:pPr>
            <a:endParaRPr lang="da-DK"/>
          </a:p>
        </c:txPr>
        <c:crossAx val="1803377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0707601778735671"/>
          <c:y val="0.12290519152617804"/>
          <c:w val="0.19085008522499888"/>
          <c:h val="7.06424907895687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Comic Sans MS" panose="030F0702030302020204" pitchFamily="66" charset="0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AFBD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Comic Sans MS" panose="030F0702030302020204" pitchFamily="66" charset="0"/>
        </a:defRPr>
      </a:pPr>
      <a:endParaRPr lang="da-DK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304801</xdr:colOff>
      <xdr:row>4</xdr:row>
      <xdr:rowOff>152400</xdr:rowOff>
    </xdr:from>
    <xdr:to>
      <xdr:col>21</xdr:col>
      <xdr:colOff>542925</xdr:colOff>
      <xdr:row>36</xdr:row>
      <xdr:rowOff>66675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B3B14DF4-DAB6-4476-AE86-5C2C69D665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0.3149</cdr:x>
      <cdr:y>0.0729</cdr:y>
    </cdr:from>
    <cdr:to>
      <cdr:x>0.40487</cdr:x>
      <cdr:y>0.22504</cdr:y>
    </cdr:to>
    <cdr:sp macro="" textlink="">
      <cdr:nvSpPr>
        <cdr:cNvPr id="2" name="Tekstfelt 1">
          <a:extLst xmlns:a="http://schemas.openxmlformats.org/drawingml/2006/main">
            <a:ext uri="{FF2B5EF4-FFF2-40B4-BE49-F238E27FC236}">
              <a16:creationId xmlns:a16="http://schemas.microsoft.com/office/drawing/2014/main" id="{0FAE12DB-BCD1-4F6B-A212-AC5AE7C33772}"/>
            </a:ext>
          </a:extLst>
        </cdr:cNvPr>
        <cdr:cNvSpPr txBox="1"/>
      </cdr:nvSpPr>
      <cdr:spPr>
        <a:xfrm xmlns:a="http://schemas.openxmlformats.org/drawingml/2006/main">
          <a:off x="3200399" y="438150"/>
          <a:ext cx="914400" cy="914400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da-DK" sz="1100" b="0" baseline="0">
              <a:effectLst/>
              <a:latin typeface="+mn-lt"/>
              <a:ea typeface="+mn-ea"/>
              <a:cs typeface="+mn-cs"/>
            </a:rPr>
            <a:t>(det er </a:t>
          </a:r>
          <a:r>
            <a:rPr lang="da-DK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kun 4 procent færre end blandt angengangsfødende</a:t>
          </a:r>
          <a:r>
            <a:rPr lang="da-DK" sz="1100" b="0" baseline="0">
              <a:effectLst/>
              <a:latin typeface="+mn-lt"/>
              <a:ea typeface="+mn-ea"/>
              <a:cs typeface="+mn-cs"/>
            </a:rPr>
            <a:t>) </a:t>
          </a:r>
          <a:r>
            <a:rPr lang="da-DK" sz="1100" b="0">
              <a:effectLst/>
              <a:latin typeface="+mn-lt"/>
              <a:ea typeface="+mn-ea"/>
              <a:cs typeface="+mn-cs"/>
            </a:rPr>
            <a:t> </a:t>
          </a:r>
          <a:endParaRPr lang="da-DK" sz="1100"/>
        </a:p>
      </cdr:txBody>
    </cdr:sp>
  </cdr:relSizeAnchor>
  <cdr:relSizeAnchor xmlns:cdr="http://schemas.openxmlformats.org/drawingml/2006/chartDrawing">
    <cdr:from>
      <cdr:x>0</cdr:x>
      <cdr:y>0.96038</cdr:y>
    </cdr:from>
    <cdr:to>
      <cdr:x>0.08997</cdr:x>
      <cdr:y>1</cdr:y>
    </cdr:to>
    <cdr:sp macro="" textlink="">
      <cdr:nvSpPr>
        <cdr:cNvPr id="3" name="Tekstfelt 2">
          <a:extLst xmlns:a="http://schemas.openxmlformats.org/drawingml/2006/main">
            <a:ext uri="{FF2B5EF4-FFF2-40B4-BE49-F238E27FC236}">
              <a16:creationId xmlns:a16="http://schemas.microsoft.com/office/drawing/2014/main" id="{CC1E7A58-194E-443A-A751-7A231DFEA2A5}"/>
            </a:ext>
          </a:extLst>
        </cdr:cNvPr>
        <cdr:cNvSpPr txBox="1"/>
      </cdr:nvSpPr>
      <cdr:spPr>
        <a:xfrm xmlns:a="http://schemas.openxmlformats.org/drawingml/2006/main">
          <a:off x="0" y="5772149"/>
          <a:ext cx="914400" cy="238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da-DK" sz="800" b="0" baseline="0">
              <a:effectLst/>
              <a:latin typeface="+mn-lt"/>
              <a:ea typeface="+mn-ea"/>
              <a:cs typeface="+mn-cs"/>
            </a:rPr>
            <a:t>Kilde: Sundhedsdatastyrelsen.dk https://www.esundhed.dk/Emner/Graviditet-foedsler-og-boern/Nyfoedte-og-foedsler-1997-  </a:t>
          </a:r>
          <a:endParaRPr lang="da-DK" sz="800"/>
        </a:p>
      </cdr:txBody>
    </cdr:sp>
  </cdr:relSizeAnchor>
</c:userShape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30"/>
  <sheetViews>
    <sheetView workbookViewId="0">
      <selection activeCell="D30" sqref="D30"/>
    </sheetView>
  </sheetViews>
  <sheetFormatPr defaultRowHeight="15" x14ac:dyDescent="0.25"/>
  <cols>
    <col min="1" max="4" width="15.7109375" customWidth="1"/>
  </cols>
  <sheetData>
    <row r="1" spans="1:123" x14ac:dyDescent="0.25">
      <c r="A1" s="1"/>
      <c r="B1" s="2" t="s">
        <v>0</v>
      </c>
      <c r="C1" t="s">
        <v>1</v>
      </c>
      <c r="D1" s="4" t="s">
        <v>2</v>
      </c>
      <c r="E1" s="4" t="s">
        <v>2</v>
      </c>
      <c r="F1" s="4" t="s">
        <v>2</v>
      </c>
      <c r="G1" s="4" t="s">
        <v>2</v>
      </c>
      <c r="H1" s="4" t="s">
        <v>2</v>
      </c>
      <c r="I1" s="4" t="s">
        <v>2</v>
      </c>
      <c r="J1" s="4" t="s">
        <v>2</v>
      </c>
      <c r="K1" s="4" t="s">
        <v>2</v>
      </c>
      <c r="L1" s="4" t="s">
        <v>2</v>
      </c>
      <c r="M1" s="4" t="s">
        <v>2</v>
      </c>
      <c r="N1" s="4" t="s">
        <v>2</v>
      </c>
      <c r="O1" s="4" t="s">
        <v>2</v>
      </c>
      <c r="P1" s="4" t="s">
        <v>2</v>
      </c>
      <c r="Q1" s="4" t="s">
        <v>2</v>
      </c>
      <c r="R1" s="4" t="s">
        <v>2</v>
      </c>
      <c r="S1" s="4" t="s">
        <v>2</v>
      </c>
      <c r="T1" s="4" t="s">
        <v>2</v>
      </c>
      <c r="U1" s="4" t="s">
        <v>2</v>
      </c>
      <c r="V1" s="4" t="s">
        <v>2</v>
      </c>
      <c r="W1" s="4" t="s">
        <v>2</v>
      </c>
      <c r="X1" s="4" t="s">
        <v>2</v>
      </c>
      <c r="Y1" s="4" t="s">
        <v>2</v>
      </c>
      <c r="Z1" s="4" t="s">
        <v>2</v>
      </c>
      <c r="AA1" s="4" t="s">
        <v>2</v>
      </c>
      <c r="AB1" s="4" t="s">
        <v>3</v>
      </c>
      <c r="AC1" s="4" t="s">
        <v>3</v>
      </c>
      <c r="AD1" s="4" t="s">
        <v>3</v>
      </c>
      <c r="AE1" s="4" t="s">
        <v>3</v>
      </c>
      <c r="AF1" s="4" t="s">
        <v>3</v>
      </c>
      <c r="AG1" s="4" t="s">
        <v>3</v>
      </c>
      <c r="AH1" s="4" t="s">
        <v>3</v>
      </c>
      <c r="AI1" s="4" t="s">
        <v>3</v>
      </c>
      <c r="AJ1" s="4" t="s">
        <v>3</v>
      </c>
      <c r="AK1" s="4" t="s">
        <v>3</v>
      </c>
      <c r="AL1" s="4" t="s">
        <v>3</v>
      </c>
      <c r="AM1" s="4" t="s">
        <v>3</v>
      </c>
      <c r="AN1" s="4" t="s">
        <v>3</v>
      </c>
      <c r="AO1" s="4" t="s">
        <v>3</v>
      </c>
      <c r="AP1" s="4" t="s">
        <v>3</v>
      </c>
      <c r="AQ1" s="4" t="s">
        <v>3</v>
      </c>
      <c r="AR1" s="4" t="s">
        <v>3</v>
      </c>
      <c r="AS1" s="4" t="s">
        <v>3</v>
      </c>
      <c r="AT1" s="4" t="s">
        <v>3</v>
      </c>
      <c r="AU1" s="4" t="s">
        <v>3</v>
      </c>
      <c r="AV1" s="4" t="s">
        <v>3</v>
      </c>
      <c r="AW1" s="4" t="s">
        <v>3</v>
      </c>
      <c r="AX1" s="4" t="s">
        <v>3</v>
      </c>
      <c r="AY1" s="4" t="s">
        <v>3</v>
      </c>
      <c r="AZ1" s="4" t="s">
        <v>4</v>
      </c>
      <c r="BA1" s="4" t="s">
        <v>4</v>
      </c>
      <c r="BB1" s="4" t="s">
        <v>4</v>
      </c>
      <c r="BC1" s="4" t="s">
        <v>4</v>
      </c>
      <c r="BD1" s="4" t="s">
        <v>4</v>
      </c>
      <c r="BE1" s="4" t="s">
        <v>4</v>
      </c>
      <c r="BF1" s="4" t="s">
        <v>4</v>
      </c>
      <c r="BG1" s="4" t="s">
        <v>4</v>
      </c>
      <c r="BH1" s="4" t="s">
        <v>4</v>
      </c>
      <c r="BI1" s="4" t="s">
        <v>4</v>
      </c>
      <c r="BJ1" s="4" t="s">
        <v>4</v>
      </c>
      <c r="BK1" s="4" t="s">
        <v>4</v>
      </c>
      <c r="BL1" s="4" t="s">
        <v>4</v>
      </c>
      <c r="BM1" s="4" t="s">
        <v>4</v>
      </c>
      <c r="BN1" s="4" t="s">
        <v>4</v>
      </c>
      <c r="BO1" s="4" t="s">
        <v>4</v>
      </c>
      <c r="BP1" s="4" t="s">
        <v>4</v>
      </c>
      <c r="BQ1" s="4" t="s">
        <v>4</v>
      </c>
      <c r="BR1" s="4" t="s">
        <v>4</v>
      </c>
      <c r="BS1" s="4" t="s">
        <v>4</v>
      </c>
      <c r="BT1" s="4" t="s">
        <v>4</v>
      </c>
      <c r="BU1" s="4" t="s">
        <v>4</v>
      </c>
      <c r="BV1" s="4" t="s">
        <v>4</v>
      </c>
      <c r="BW1" s="4" t="s">
        <v>4</v>
      </c>
      <c r="BX1" s="4" t="s">
        <v>5</v>
      </c>
      <c r="BY1" s="4" t="s">
        <v>5</v>
      </c>
      <c r="BZ1" s="4" t="s">
        <v>5</v>
      </c>
      <c r="CA1" s="4" t="s">
        <v>5</v>
      </c>
      <c r="CB1" s="4" t="s">
        <v>5</v>
      </c>
      <c r="CC1" s="4" t="s">
        <v>5</v>
      </c>
      <c r="CD1" s="4" t="s">
        <v>5</v>
      </c>
      <c r="CE1" s="4" t="s">
        <v>5</v>
      </c>
      <c r="CF1" s="4" t="s">
        <v>5</v>
      </c>
      <c r="CG1" s="4" t="s">
        <v>5</v>
      </c>
      <c r="CH1" s="4" t="s">
        <v>5</v>
      </c>
      <c r="CI1" s="4" t="s">
        <v>5</v>
      </c>
      <c r="CJ1" s="4" t="s">
        <v>5</v>
      </c>
      <c r="CK1" s="4" t="s">
        <v>5</v>
      </c>
      <c r="CL1" s="4" t="s">
        <v>5</v>
      </c>
      <c r="CM1" s="4" t="s">
        <v>5</v>
      </c>
      <c r="CN1" s="4" t="s">
        <v>5</v>
      </c>
      <c r="CO1" s="4" t="s">
        <v>5</v>
      </c>
      <c r="CP1" s="4" t="s">
        <v>5</v>
      </c>
      <c r="CQ1" s="4" t="s">
        <v>5</v>
      </c>
      <c r="CR1" s="4" t="s">
        <v>5</v>
      </c>
      <c r="CS1" s="4" t="s">
        <v>5</v>
      </c>
      <c r="CT1" s="4" t="s">
        <v>5</v>
      </c>
      <c r="CU1" s="4" t="s">
        <v>5</v>
      </c>
      <c r="CV1" s="4" t="s">
        <v>6</v>
      </c>
      <c r="CW1" s="4" t="s">
        <v>6</v>
      </c>
      <c r="CX1" s="4" t="s">
        <v>6</v>
      </c>
      <c r="CY1" s="4" t="s">
        <v>6</v>
      </c>
      <c r="CZ1" s="4" t="s">
        <v>6</v>
      </c>
      <c r="DA1" s="4" t="s">
        <v>6</v>
      </c>
      <c r="DB1" s="4" t="s">
        <v>6</v>
      </c>
      <c r="DC1" s="4" t="s">
        <v>6</v>
      </c>
      <c r="DD1" s="4" t="s">
        <v>6</v>
      </c>
      <c r="DE1" s="4" t="s">
        <v>6</v>
      </c>
      <c r="DF1" s="4" t="s">
        <v>6</v>
      </c>
      <c r="DG1" s="4" t="s">
        <v>6</v>
      </c>
      <c r="DH1" s="4" t="s">
        <v>6</v>
      </c>
      <c r="DI1" s="4" t="s">
        <v>6</v>
      </c>
      <c r="DJ1" s="4" t="s">
        <v>6</v>
      </c>
      <c r="DK1" s="4" t="s">
        <v>6</v>
      </c>
      <c r="DL1" s="4" t="s">
        <v>6</v>
      </c>
      <c r="DM1" s="4" t="s">
        <v>6</v>
      </c>
      <c r="DN1" s="4" t="s">
        <v>6</v>
      </c>
      <c r="DO1" s="4" t="s">
        <v>6</v>
      </c>
      <c r="DP1" s="4" t="s">
        <v>6</v>
      </c>
      <c r="DQ1" s="4" t="s">
        <v>6</v>
      </c>
      <c r="DR1" s="4" t="s">
        <v>6</v>
      </c>
      <c r="DS1" s="4" t="s">
        <v>6</v>
      </c>
    </row>
    <row r="2" spans="1:123" x14ac:dyDescent="0.25">
      <c r="A2" s="2" t="s">
        <v>7</v>
      </c>
      <c r="B2" s="2" t="s">
        <v>8</v>
      </c>
      <c r="C2" t="s">
        <v>1</v>
      </c>
      <c r="D2" t="s">
        <v>1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  <c r="Z2" t="s">
        <v>30</v>
      </c>
      <c r="AA2" t="s">
        <v>6</v>
      </c>
      <c r="AB2" t="s">
        <v>1</v>
      </c>
      <c r="AC2" t="s">
        <v>9</v>
      </c>
      <c r="AD2" t="s">
        <v>10</v>
      </c>
      <c r="AE2" t="s">
        <v>11</v>
      </c>
      <c r="AF2" t="s">
        <v>12</v>
      </c>
      <c r="AG2" t="s">
        <v>13</v>
      </c>
      <c r="AH2" t="s">
        <v>14</v>
      </c>
      <c r="AI2" t="s">
        <v>15</v>
      </c>
      <c r="AJ2" t="s">
        <v>16</v>
      </c>
      <c r="AK2" t="s">
        <v>17</v>
      </c>
      <c r="AL2" t="s">
        <v>18</v>
      </c>
      <c r="AM2" t="s">
        <v>19</v>
      </c>
      <c r="AN2" t="s">
        <v>20</v>
      </c>
      <c r="AO2" t="s">
        <v>21</v>
      </c>
      <c r="AP2" t="s">
        <v>22</v>
      </c>
      <c r="AQ2" t="s">
        <v>23</v>
      </c>
      <c r="AR2" t="s">
        <v>24</v>
      </c>
      <c r="AS2" t="s">
        <v>25</v>
      </c>
      <c r="AT2" t="s">
        <v>26</v>
      </c>
      <c r="AU2" t="s">
        <v>27</v>
      </c>
      <c r="AV2" t="s">
        <v>28</v>
      </c>
      <c r="AW2" t="s">
        <v>29</v>
      </c>
      <c r="AX2" t="s">
        <v>30</v>
      </c>
      <c r="AY2" t="s">
        <v>6</v>
      </c>
      <c r="AZ2" t="s">
        <v>1</v>
      </c>
      <c r="BA2" t="s">
        <v>9</v>
      </c>
      <c r="BB2" t="s">
        <v>10</v>
      </c>
      <c r="BC2" t="s">
        <v>11</v>
      </c>
      <c r="BD2" t="s">
        <v>12</v>
      </c>
      <c r="BE2" t="s">
        <v>13</v>
      </c>
      <c r="BF2" t="s">
        <v>14</v>
      </c>
      <c r="BG2" t="s">
        <v>15</v>
      </c>
      <c r="BH2" t="s">
        <v>16</v>
      </c>
      <c r="BI2" t="s">
        <v>17</v>
      </c>
      <c r="BJ2" t="s">
        <v>18</v>
      </c>
      <c r="BK2" t="s">
        <v>19</v>
      </c>
      <c r="BL2" t="s">
        <v>20</v>
      </c>
      <c r="BM2" t="s">
        <v>21</v>
      </c>
      <c r="BN2" t="s">
        <v>22</v>
      </c>
      <c r="BO2" t="s">
        <v>23</v>
      </c>
      <c r="BP2" t="s">
        <v>24</v>
      </c>
      <c r="BQ2" t="s">
        <v>25</v>
      </c>
      <c r="BR2" t="s">
        <v>26</v>
      </c>
      <c r="BS2" t="s">
        <v>27</v>
      </c>
      <c r="BT2" t="s">
        <v>28</v>
      </c>
      <c r="BU2" t="s">
        <v>29</v>
      </c>
      <c r="BV2" t="s">
        <v>30</v>
      </c>
      <c r="BW2" t="s">
        <v>6</v>
      </c>
      <c r="BX2" t="s">
        <v>1</v>
      </c>
      <c r="BY2" t="s">
        <v>9</v>
      </c>
      <c r="BZ2" t="s">
        <v>10</v>
      </c>
      <c r="CA2" t="s">
        <v>11</v>
      </c>
      <c r="CB2" t="s">
        <v>12</v>
      </c>
      <c r="CC2" t="s">
        <v>13</v>
      </c>
      <c r="CD2" t="s">
        <v>14</v>
      </c>
      <c r="CE2" t="s">
        <v>15</v>
      </c>
      <c r="CF2" t="s">
        <v>16</v>
      </c>
      <c r="CG2" t="s">
        <v>17</v>
      </c>
      <c r="CH2" t="s">
        <v>18</v>
      </c>
      <c r="CI2" t="s">
        <v>19</v>
      </c>
      <c r="CJ2" t="s">
        <v>20</v>
      </c>
      <c r="CK2" t="s">
        <v>21</v>
      </c>
      <c r="CL2" t="s">
        <v>22</v>
      </c>
      <c r="CM2" t="s">
        <v>23</v>
      </c>
      <c r="CN2" t="s">
        <v>24</v>
      </c>
      <c r="CO2" t="s">
        <v>25</v>
      </c>
      <c r="CP2" t="s">
        <v>26</v>
      </c>
      <c r="CQ2" t="s">
        <v>27</v>
      </c>
      <c r="CR2" t="s">
        <v>28</v>
      </c>
      <c r="CS2" t="s">
        <v>29</v>
      </c>
      <c r="CT2" t="s">
        <v>30</v>
      </c>
      <c r="CU2" t="s">
        <v>6</v>
      </c>
      <c r="CV2" t="s">
        <v>1</v>
      </c>
      <c r="CW2" t="s">
        <v>9</v>
      </c>
      <c r="CX2" t="s">
        <v>10</v>
      </c>
      <c r="CY2" t="s">
        <v>11</v>
      </c>
      <c r="CZ2" t="s">
        <v>12</v>
      </c>
      <c r="DA2" t="s">
        <v>13</v>
      </c>
      <c r="DB2" t="s">
        <v>14</v>
      </c>
      <c r="DC2" t="s">
        <v>15</v>
      </c>
      <c r="DD2" t="s">
        <v>16</v>
      </c>
      <c r="DE2" t="s">
        <v>17</v>
      </c>
      <c r="DF2" t="s">
        <v>18</v>
      </c>
      <c r="DG2" t="s">
        <v>19</v>
      </c>
      <c r="DH2" t="s">
        <v>20</v>
      </c>
      <c r="DI2" t="s">
        <v>21</v>
      </c>
      <c r="DJ2" t="s">
        <v>22</v>
      </c>
      <c r="DK2" t="s">
        <v>23</v>
      </c>
      <c r="DL2" t="s">
        <v>24</v>
      </c>
      <c r="DM2" t="s">
        <v>25</v>
      </c>
      <c r="DN2" t="s">
        <v>26</v>
      </c>
      <c r="DO2" t="s">
        <v>27</v>
      </c>
      <c r="DP2" t="s">
        <v>28</v>
      </c>
      <c r="DQ2" t="s">
        <v>29</v>
      </c>
      <c r="DR2" t="s">
        <v>30</v>
      </c>
      <c r="DS2" t="s">
        <v>6</v>
      </c>
    </row>
    <row r="3" spans="1:123" x14ac:dyDescent="0.25">
      <c r="A3" s="4">
        <v>1997</v>
      </c>
      <c r="B3" s="4"/>
      <c r="C3">
        <v>66910</v>
      </c>
      <c r="D3">
        <v>28205</v>
      </c>
      <c r="G3" s="3">
        <v>5</v>
      </c>
      <c r="H3" s="3">
        <v>15</v>
      </c>
      <c r="I3" s="3">
        <v>15</v>
      </c>
      <c r="J3" s="3">
        <v>10</v>
      </c>
      <c r="K3" s="3">
        <v>30</v>
      </c>
      <c r="L3" s="3">
        <v>45</v>
      </c>
      <c r="M3" s="3">
        <v>40</v>
      </c>
      <c r="N3" s="3">
        <v>70</v>
      </c>
      <c r="O3" s="3">
        <v>75</v>
      </c>
      <c r="P3" s="3">
        <v>85</v>
      </c>
      <c r="Q3" s="3">
        <v>125</v>
      </c>
      <c r="R3" s="3">
        <v>195</v>
      </c>
      <c r="S3" s="3">
        <v>320</v>
      </c>
      <c r="T3" s="3">
        <v>605</v>
      </c>
      <c r="U3">
        <v>1185</v>
      </c>
      <c r="V3">
        <v>2615</v>
      </c>
      <c r="W3">
        <v>5220</v>
      </c>
      <c r="X3">
        <v>7290</v>
      </c>
      <c r="Y3">
        <v>4930</v>
      </c>
      <c r="Z3">
        <v>2545</v>
      </c>
      <c r="AA3">
        <v>2780</v>
      </c>
      <c r="AB3">
        <v>25075</v>
      </c>
      <c r="AF3" s="3">
        <v>10</v>
      </c>
      <c r="AG3" s="3">
        <v>5</v>
      </c>
      <c r="AH3" s="3">
        <v>10</v>
      </c>
      <c r="AI3" s="3">
        <v>20</v>
      </c>
      <c r="AJ3" s="3">
        <v>20</v>
      </c>
      <c r="AK3" s="3">
        <v>25</v>
      </c>
      <c r="AL3" s="3">
        <v>35</v>
      </c>
      <c r="AM3" s="3">
        <v>40</v>
      </c>
      <c r="AN3" s="3">
        <v>45</v>
      </c>
      <c r="AO3" s="3">
        <v>60</v>
      </c>
      <c r="AP3" s="3">
        <v>160</v>
      </c>
      <c r="AQ3" s="3">
        <v>225</v>
      </c>
      <c r="AR3" s="3">
        <v>415</v>
      </c>
      <c r="AS3" s="3">
        <v>910</v>
      </c>
      <c r="AT3">
        <v>2585</v>
      </c>
      <c r="AU3">
        <v>5265</v>
      </c>
      <c r="AV3">
        <v>7210</v>
      </c>
      <c r="AW3">
        <v>4500</v>
      </c>
      <c r="AX3">
        <v>1850</v>
      </c>
      <c r="AY3">
        <v>1685</v>
      </c>
      <c r="AZ3">
        <v>9520</v>
      </c>
      <c r="BE3" s="3">
        <v>5</v>
      </c>
      <c r="BH3" s="3">
        <v>15</v>
      </c>
      <c r="BI3" s="3">
        <v>10</v>
      </c>
      <c r="BJ3" s="3">
        <v>15</v>
      </c>
      <c r="BK3" s="3">
        <v>20</v>
      </c>
      <c r="BL3" s="3">
        <v>15</v>
      </c>
      <c r="BM3" s="3">
        <v>25</v>
      </c>
      <c r="BN3" s="3">
        <v>55</v>
      </c>
      <c r="BO3" s="3">
        <v>65</v>
      </c>
      <c r="BP3" s="3">
        <v>180</v>
      </c>
      <c r="BQ3" s="3">
        <v>415</v>
      </c>
      <c r="BR3">
        <v>1090</v>
      </c>
      <c r="BS3">
        <v>1875</v>
      </c>
      <c r="BT3">
        <v>2710</v>
      </c>
      <c r="BU3">
        <v>1740</v>
      </c>
      <c r="BV3" s="3">
        <v>725</v>
      </c>
      <c r="BW3" s="3">
        <v>555</v>
      </c>
      <c r="BX3">
        <v>3545</v>
      </c>
      <c r="CF3" s="3">
        <v>5</v>
      </c>
      <c r="CG3" s="3">
        <v>5</v>
      </c>
      <c r="CH3" s="3">
        <v>15</v>
      </c>
      <c r="CI3" s="3">
        <v>5</v>
      </c>
      <c r="CJ3" s="3">
        <v>10</v>
      </c>
      <c r="CK3" s="3">
        <v>20</v>
      </c>
      <c r="CL3" s="3">
        <v>30</v>
      </c>
      <c r="CM3" s="3">
        <v>40</v>
      </c>
      <c r="CN3" s="3">
        <v>75</v>
      </c>
      <c r="CO3" s="3">
        <v>175</v>
      </c>
      <c r="CP3" s="3">
        <v>430</v>
      </c>
      <c r="CQ3" s="3">
        <v>700</v>
      </c>
      <c r="CR3" s="3">
        <v>985</v>
      </c>
      <c r="CS3" s="3">
        <v>580</v>
      </c>
      <c r="CT3" s="3">
        <v>260</v>
      </c>
      <c r="CU3" s="3">
        <v>200</v>
      </c>
      <c r="CV3" s="3">
        <v>560</v>
      </c>
      <c r="DN3" s="3">
        <v>5</v>
      </c>
      <c r="DO3" s="3">
        <v>15</v>
      </c>
      <c r="DP3" s="3">
        <v>30</v>
      </c>
      <c r="DQ3" s="3">
        <v>20</v>
      </c>
      <c r="DR3" s="3">
        <v>10</v>
      </c>
      <c r="DS3" s="3">
        <v>465</v>
      </c>
    </row>
    <row r="4" spans="1:123" x14ac:dyDescent="0.25">
      <c r="A4" s="4">
        <v>1998</v>
      </c>
      <c r="B4" s="4"/>
      <c r="C4">
        <v>65365</v>
      </c>
      <c r="D4">
        <v>27825</v>
      </c>
      <c r="G4" s="3">
        <v>5</v>
      </c>
      <c r="H4" s="3">
        <v>10</v>
      </c>
      <c r="I4" s="3">
        <v>15</v>
      </c>
      <c r="J4" s="3">
        <v>20</v>
      </c>
      <c r="K4" s="3">
        <v>30</v>
      </c>
      <c r="L4" s="3">
        <v>45</v>
      </c>
      <c r="M4" s="3">
        <v>50</v>
      </c>
      <c r="N4" s="3">
        <v>85</v>
      </c>
      <c r="O4" s="3">
        <v>65</v>
      </c>
      <c r="P4" s="3">
        <v>125</v>
      </c>
      <c r="Q4" s="3">
        <v>140</v>
      </c>
      <c r="R4" s="3">
        <v>260</v>
      </c>
      <c r="S4" s="3">
        <v>440</v>
      </c>
      <c r="T4" s="3">
        <v>655</v>
      </c>
      <c r="U4">
        <v>1350</v>
      </c>
      <c r="V4">
        <v>2865</v>
      </c>
      <c r="W4">
        <v>5490</v>
      </c>
      <c r="X4">
        <v>7575</v>
      </c>
      <c r="Y4">
        <v>5345</v>
      </c>
      <c r="Z4">
        <v>2835</v>
      </c>
      <c r="AA4" s="3">
        <v>415</v>
      </c>
      <c r="AB4">
        <v>24485</v>
      </c>
      <c r="AG4" s="3">
        <v>5</v>
      </c>
      <c r="AH4" s="3">
        <v>10</v>
      </c>
      <c r="AI4" s="3">
        <v>10</v>
      </c>
      <c r="AJ4" s="3">
        <v>25</v>
      </c>
      <c r="AK4" s="3">
        <v>20</v>
      </c>
      <c r="AL4" s="3">
        <v>45</v>
      </c>
      <c r="AM4" s="3">
        <v>45</v>
      </c>
      <c r="AN4" s="3">
        <v>65</v>
      </c>
      <c r="AO4" s="3">
        <v>100</v>
      </c>
      <c r="AP4" s="3">
        <v>120</v>
      </c>
      <c r="AQ4" s="3">
        <v>230</v>
      </c>
      <c r="AR4" s="3">
        <v>405</v>
      </c>
      <c r="AS4">
        <v>1030</v>
      </c>
      <c r="AT4">
        <v>2650</v>
      </c>
      <c r="AU4">
        <v>5180</v>
      </c>
      <c r="AV4">
        <v>7370</v>
      </c>
      <c r="AW4">
        <v>4895</v>
      </c>
      <c r="AX4">
        <v>1970</v>
      </c>
      <c r="AY4" s="3">
        <v>300</v>
      </c>
      <c r="AZ4">
        <v>9195</v>
      </c>
      <c r="BE4" s="3">
        <v>5</v>
      </c>
      <c r="BG4" s="3">
        <v>5</v>
      </c>
      <c r="BH4" s="3">
        <v>10</v>
      </c>
      <c r="BI4" s="3">
        <v>10</v>
      </c>
      <c r="BJ4" s="3">
        <v>15</v>
      </c>
      <c r="BK4" s="3">
        <v>20</v>
      </c>
      <c r="BL4" s="3">
        <v>20</v>
      </c>
      <c r="BM4" s="3">
        <v>35</v>
      </c>
      <c r="BN4" s="3">
        <v>50</v>
      </c>
      <c r="BO4" s="3">
        <v>85</v>
      </c>
      <c r="BP4" s="3">
        <v>165</v>
      </c>
      <c r="BQ4" s="3">
        <v>395</v>
      </c>
      <c r="BR4">
        <v>1105</v>
      </c>
      <c r="BS4">
        <v>1915</v>
      </c>
      <c r="BT4">
        <v>2750</v>
      </c>
      <c r="BU4">
        <v>1780</v>
      </c>
      <c r="BV4" s="3">
        <v>730</v>
      </c>
      <c r="BW4" s="3">
        <v>95</v>
      </c>
      <c r="BX4">
        <v>3485</v>
      </c>
      <c r="CF4" s="3">
        <v>5</v>
      </c>
      <c r="CG4" s="3">
        <v>5</v>
      </c>
      <c r="CH4" s="3">
        <v>10</v>
      </c>
      <c r="CI4" s="3">
        <v>15</v>
      </c>
      <c r="CJ4" s="3">
        <v>15</v>
      </c>
      <c r="CK4" s="3">
        <v>20</v>
      </c>
      <c r="CL4" s="3">
        <v>30</v>
      </c>
      <c r="CM4" s="3">
        <v>45</v>
      </c>
      <c r="CN4" s="3">
        <v>75</v>
      </c>
      <c r="CO4" s="3">
        <v>205</v>
      </c>
      <c r="CP4" s="3">
        <v>485</v>
      </c>
      <c r="CQ4" s="3">
        <v>700</v>
      </c>
      <c r="CR4" s="3">
        <v>960</v>
      </c>
      <c r="CS4" s="3">
        <v>600</v>
      </c>
      <c r="CT4" s="3">
        <v>255</v>
      </c>
      <c r="CU4" s="3">
        <v>50</v>
      </c>
      <c r="CV4" s="3">
        <v>375</v>
      </c>
      <c r="DM4" s="3">
        <v>5</v>
      </c>
      <c r="DN4" s="3">
        <v>10</v>
      </c>
      <c r="DO4" s="3">
        <v>10</v>
      </c>
      <c r="DP4" s="3">
        <v>30</v>
      </c>
      <c r="DQ4" s="3">
        <v>15</v>
      </c>
      <c r="DR4" s="3">
        <v>5</v>
      </c>
      <c r="DS4" s="3">
        <v>285</v>
      </c>
    </row>
    <row r="5" spans="1:123" x14ac:dyDescent="0.25">
      <c r="A5" s="4">
        <v>1999</v>
      </c>
      <c r="B5" s="4"/>
      <c r="C5">
        <v>65435</v>
      </c>
      <c r="D5">
        <v>26865</v>
      </c>
      <c r="G5" s="3">
        <v>5</v>
      </c>
      <c r="H5" s="3">
        <v>10</v>
      </c>
      <c r="I5" s="3">
        <v>20</v>
      </c>
      <c r="J5" s="3">
        <v>30</v>
      </c>
      <c r="K5" s="3">
        <v>15</v>
      </c>
      <c r="L5" s="3">
        <v>50</v>
      </c>
      <c r="M5" s="3">
        <v>50</v>
      </c>
      <c r="N5" s="3">
        <v>70</v>
      </c>
      <c r="O5" s="3">
        <v>80</v>
      </c>
      <c r="P5" s="3">
        <v>125</v>
      </c>
      <c r="Q5" s="3">
        <v>165</v>
      </c>
      <c r="R5" s="3">
        <v>240</v>
      </c>
      <c r="S5" s="3">
        <v>385</v>
      </c>
      <c r="T5" s="3">
        <v>705</v>
      </c>
      <c r="U5">
        <v>1260</v>
      </c>
      <c r="V5">
        <v>2860</v>
      </c>
      <c r="W5">
        <v>5345</v>
      </c>
      <c r="X5">
        <v>7275</v>
      </c>
      <c r="Y5">
        <v>5305</v>
      </c>
      <c r="Z5">
        <v>2810</v>
      </c>
      <c r="AA5" s="3">
        <v>50</v>
      </c>
      <c r="AB5">
        <v>24300</v>
      </c>
      <c r="AF5" s="3">
        <v>10</v>
      </c>
      <c r="AG5" s="3">
        <v>10</v>
      </c>
      <c r="AH5" s="3">
        <v>15</v>
      </c>
      <c r="AI5" s="3">
        <v>15</v>
      </c>
      <c r="AJ5" s="3">
        <v>20</v>
      </c>
      <c r="AK5" s="3">
        <v>25</v>
      </c>
      <c r="AL5" s="3">
        <v>45</v>
      </c>
      <c r="AM5" s="3">
        <v>45</v>
      </c>
      <c r="AN5" s="3">
        <v>50</v>
      </c>
      <c r="AO5" s="3">
        <v>85</v>
      </c>
      <c r="AP5" s="3">
        <v>130</v>
      </c>
      <c r="AQ5" s="3">
        <v>205</v>
      </c>
      <c r="AR5" s="3">
        <v>410</v>
      </c>
      <c r="AS5">
        <v>1085</v>
      </c>
      <c r="AT5">
        <v>2690</v>
      </c>
      <c r="AU5">
        <v>5345</v>
      </c>
      <c r="AV5">
        <v>7250</v>
      </c>
      <c r="AW5">
        <v>4825</v>
      </c>
      <c r="AX5">
        <v>1885</v>
      </c>
      <c r="AY5" s="3">
        <v>160</v>
      </c>
      <c r="AZ5">
        <v>9250</v>
      </c>
      <c r="BE5" s="3">
        <v>5</v>
      </c>
      <c r="BF5" s="3">
        <v>5</v>
      </c>
      <c r="BG5" s="3">
        <v>15</v>
      </c>
      <c r="BH5" s="3">
        <v>10</v>
      </c>
      <c r="BI5" s="3">
        <v>10</v>
      </c>
      <c r="BJ5" s="3">
        <v>25</v>
      </c>
      <c r="BK5" s="3">
        <v>15</v>
      </c>
      <c r="BL5" s="3">
        <v>25</v>
      </c>
      <c r="BM5" s="3">
        <v>35</v>
      </c>
      <c r="BN5" s="3">
        <v>50</v>
      </c>
      <c r="BO5" s="3">
        <v>85</v>
      </c>
      <c r="BP5" s="3">
        <v>155</v>
      </c>
      <c r="BQ5" s="3">
        <v>435</v>
      </c>
      <c r="BR5">
        <v>1195</v>
      </c>
      <c r="BS5">
        <v>2010</v>
      </c>
      <c r="BT5">
        <v>2660</v>
      </c>
      <c r="BU5">
        <v>1730</v>
      </c>
      <c r="BV5" s="3">
        <v>730</v>
      </c>
      <c r="BW5" s="3">
        <v>65</v>
      </c>
      <c r="BX5">
        <v>3505</v>
      </c>
      <c r="CE5" s="3">
        <v>5</v>
      </c>
      <c r="CF5" s="3">
        <v>5</v>
      </c>
      <c r="CH5" s="3">
        <v>10</v>
      </c>
      <c r="CI5" s="3">
        <v>5</v>
      </c>
      <c r="CJ5" s="3">
        <v>10</v>
      </c>
      <c r="CK5" s="3">
        <v>20</v>
      </c>
      <c r="CL5" s="3">
        <v>20</v>
      </c>
      <c r="CM5" s="3">
        <v>40</v>
      </c>
      <c r="CN5" s="3">
        <v>85</v>
      </c>
      <c r="CO5" s="3">
        <v>205</v>
      </c>
      <c r="CP5" s="3">
        <v>465</v>
      </c>
      <c r="CQ5" s="3">
        <v>755</v>
      </c>
      <c r="CR5" s="3">
        <v>970</v>
      </c>
      <c r="CS5" s="3">
        <v>585</v>
      </c>
      <c r="CT5" s="3">
        <v>290</v>
      </c>
      <c r="CU5" s="3">
        <v>35</v>
      </c>
      <c r="CV5">
        <v>1510</v>
      </c>
      <c r="DF5" s="3">
        <v>5</v>
      </c>
      <c r="DI5" s="3">
        <v>10</v>
      </c>
      <c r="DJ5" s="3">
        <v>15</v>
      </c>
      <c r="DK5" s="3">
        <v>15</v>
      </c>
      <c r="DL5" s="3">
        <v>30</v>
      </c>
      <c r="DM5" s="3">
        <v>70</v>
      </c>
      <c r="DN5" s="3">
        <v>135</v>
      </c>
      <c r="DO5" s="3">
        <v>255</v>
      </c>
      <c r="DP5" s="3">
        <v>290</v>
      </c>
      <c r="DQ5" s="3">
        <v>235</v>
      </c>
      <c r="DR5" s="3">
        <v>135</v>
      </c>
      <c r="DS5" s="3">
        <v>305</v>
      </c>
    </row>
    <row r="6" spans="1:123" x14ac:dyDescent="0.25">
      <c r="A6" s="4">
        <v>2000</v>
      </c>
      <c r="B6" s="4"/>
      <c r="C6">
        <v>66305</v>
      </c>
      <c r="D6">
        <v>26760</v>
      </c>
      <c r="G6" s="3">
        <v>15</v>
      </c>
      <c r="H6" s="3">
        <v>15</v>
      </c>
      <c r="I6" s="3">
        <v>10</v>
      </c>
      <c r="J6" s="3">
        <v>20</v>
      </c>
      <c r="K6" s="3">
        <v>30</v>
      </c>
      <c r="L6" s="3">
        <v>55</v>
      </c>
      <c r="M6" s="3">
        <v>45</v>
      </c>
      <c r="N6" s="3">
        <v>60</v>
      </c>
      <c r="O6" s="3">
        <v>95</v>
      </c>
      <c r="P6" s="3">
        <v>120</v>
      </c>
      <c r="Q6" s="3">
        <v>185</v>
      </c>
      <c r="R6" s="3">
        <v>265</v>
      </c>
      <c r="S6" s="3">
        <v>420</v>
      </c>
      <c r="T6" s="3">
        <v>670</v>
      </c>
      <c r="U6">
        <v>1480</v>
      </c>
      <c r="V6">
        <v>2965</v>
      </c>
      <c r="W6">
        <v>5705</v>
      </c>
      <c r="X6">
        <v>7155</v>
      </c>
      <c r="Y6">
        <v>5025</v>
      </c>
      <c r="Z6">
        <v>2390</v>
      </c>
      <c r="AA6" s="3">
        <v>25</v>
      </c>
      <c r="AB6">
        <v>24325</v>
      </c>
      <c r="AD6" s="3">
        <v>5</v>
      </c>
      <c r="AE6" s="3">
        <v>5</v>
      </c>
      <c r="AF6" s="3">
        <v>10</v>
      </c>
      <c r="AG6" s="3">
        <v>5</v>
      </c>
      <c r="AH6" s="3">
        <v>10</v>
      </c>
      <c r="AI6" s="3">
        <v>15</v>
      </c>
      <c r="AJ6" s="3">
        <v>20</v>
      </c>
      <c r="AK6" s="3">
        <v>35</v>
      </c>
      <c r="AL6" s="3">
        <v>35</v>
      </c>
      <c r="AM6" s="3">
        <v>40</v>
      </c>
      <c r="AN6" s="3">
        <v>50</v>
      </c>
      <c r="AO6" s="3">
        <v>85</v>
      </c>
      <c r="AP6" s="3">
        <v>130</v>
      </c>
      <c r="AQ6" s="3">
        <v>220</v>
      </c>
      <c r="AR6" s="3">
        <v>480</v>
      </c>
      <c r="AS6">
        <v>1145</v>
      </c>
      <c r="AT6">
        <v>3005</v>
      </c>
      <c r="AU6">
        <v>5735</v>
      </c>
      <c r="AV6">
        <v>7060</v>
      </c>
      <c r="AW6">
        <v>4500</v>
      </c>
      <c r="AX6">
        <v>1635</v>
      </c>
      <c r="AY6" s="3">
        <v>110</v>
      </c>
      <c r="AZ6">
        <v>9315</v>
      </c>
      <c r="BE6" s="3">
        <v>5</v>
      </c>
      <c r="BG6" s="3">
        <v>5</v>
      </c>
      <c r="BH6" s="3">
        <v>10</v>
      </c>
      <c r="BI6" s="3">
        <v>10</v>
      </c>
      <c r="BJ6" s="3">
        <v>15</v>
      </c>
      <c r="BK6" s="3">
        <v>20</v>
      </c>
      <c r="BL6" s="3">
        <v>25</v>
      </c>
      <c r="BM6" s="3">
        <v>35</v>
      </c>
      <c r="BN6" s="3">
        <v>55</v>
      </c>
      <c r="BO6" s="3">
        <v>80</v>
      </c>
      <c r="BP6" s="3">
        <v>185</v>
      </c>
      <c r="BQ6" s="3">
        <v>460</v>
      </c>
      <c r="BR6">
        <v>1245</v>
      </c>
      <c r="BS6">
        <v>2110</v>
      </c>
      <c r="BT6">
        <v>2630</v>
      </c>
      <c r="BU6">
        <v>1710</v>
      </c>
      <c r="BV6" s="3">
        <v>660</v>
      </c>
      <c r="BW6" s="3">
        <v>50</v>
      </c>
      <c r="BX6">
        <v>3530</v>
      </c>
      <c r="CH6" s="3">
        <v>5</v>
      </c>
      <c r="CI6" s="3">
        <v>15</v>
      </c>
      <c r="CJ6" s="3">
        <v>10</v>
      </c>
      <c r="CK6" s="3">
        <v>20</v>
      </c>
      <c r="CL6" s="3">
        <v>30</v>
      </c>
      <c r="CM6" s="3">
        <v>45</v>
      </c>
      <c r="CN6" s="3">
        <v>100</v>
      </c>
      <c r="CO6" s="3">
        <v>235</v>
      </c>
      <c r="CP6" s="3">
        <v>485</v>
      </c>
      <c r="CQ6" s="3">
        <v>725</v>
      </c>
      <c r="CR6" s="3">
        <v>995</v>
      </c>
      <c r="CS6" s="3">
        <v>585</v>
      </c>
      <c r="CT6" s="3">
        <v>240</v>
      </c>
      <c r="CU6" s="3">
        <v>25</v>
      </c>
      <c r="CV6">
        <v>2385</v>
      </c>
      <c r="DF6" s="3">
        <v>5</v>
      </c>
      <c r="DJ6" s="3">
        <v>15</v>
      </c>
      <c r="DK6" s="3">
        <v>25</v>
      </c>
      <c r="DL6" s="3">
        <v>55</v>
      </c>
      <c r="DM6" s="3">
        <v>95</v>
      </c>
      <c r="DN6" s="3">
        <v>225</v>
      </c>
      <c r="DO6" s="3">
        <v>435</v>
      </c>
      <c r="DP6" s="3">
        <v>595</v>
      </c>
      <c r="DQ6" s="3">
        <v>400</v>
      </c>
      <c r="DR6" s="3">
        <v>205</v>
      </c>
      <c r="DS6" s="3">
        <v>310</v>
      </c>
    </row>
    <row r="7" spans="1:123" x14ac:dyDescent="0.25">
      <c r="A7" s="4">
        <v>2001</v>
      </c>
      <c r="B7" s="4"/>
      <c r="C7">
        <v>64545</v>
      </c>
      <c r="D7">
        <v>27160</v>
      </c>
      <c r="G7" s="3">
        <v>10</v>
      </c>
      <c r="H7" s="3">
        <v>15</v>
      </c>
      <c r="I7" s="3">
        <v>20</v>
      </c>
      <c r="J7" s="3">
        <v>25</v>
      </c>
      <c r="K7" s="3">
        <v>40</v>
      </c>
      <c r="L7" s="3">
        <v>45</v>
      </c>
      <c r="M7" s="3">
        <v>55</v>
      </c>
      <c r="N7" s="3">
        <v>70</v>
      </c>
      <c r="O7" s="3">
        <v>80</v>
      </c>
      <c r="P7" s="3">
        <v>125</v>
      </c>
      <c r="Q7" s="3">
        <v>185</v>
      </c>
      <c r="R7" s="3">
        <v>260</v>
      </c>
      <c r="S7" s="3">
        <v>435</v>
      </c>
      <c r="T7" s="3">
        <v>765</v>
      </c>
      <c r="U7">
        <v>1420</v>
      </c>
      <c r="V7">
        <v>3135</v>
      </c>
      <c r="W7">
        <v>5510</v>
      </c>
      <c r="X7">
        <v>7155</v>
      </c>
      <c r="Y7">
        <v>5130</v>
      </c>
      <c r="Z7">
        <v>2655</v>
      </c>
      <c r="AA7" s="3">
        <v>35</v>
      </c>
      <c r="AB7">
        <v>23525</v>
      </c>
      <c r="AF7" s="3">
        <v>5</v>
      </c>
      <c r="AG7" s="3">
        <v>10</v>
      </c>
      <c r="AH7" s="3">
        <v>10</v>
      </c>
      <c r="AI7" s="3">
        <v>15</v>
      </c>
      <c r="AJ7" s="3">
        <v>25</v>
      </c>
      <c r="AK7" s="3">
        <v>25</v>
      </c>
      <c r="AL7" s="3">
        <v>35</v>
      </c>
      <c r="AM7" s="3">
        <v>40</v>
      </c>
      <c r="AN7" s="3">
        <v>65</v>
      </c>
      <c r="AO7" s="3">
        <v>90</v>
      </c>
      <c r="AP7" s="3">
        <v>160</v>
      </c>
      <c r="AQ7" s="3">
        <v>235</v>
      </c>
      <c r="AR7" s="3">
        <v>410</v>
      </c>
      <c r="AS7">
        <v>1160</v>
      </c>
      <c r="AT7">
        <v>2985</v>
      </c>
      <c r="AU7">
        <v>5375</v>
      </c>
      <c r="AV7">
        <v>6735</v>
      </c>
      <c r="AW7">
        <v>4480</v>
      </c>
      <c r="AX7">
        <v>1560</v>
      </c>
      <c r="AY7" s="3">
        <v>90</v>
      </c>
      <c r="AZ7">
        <v>9045</v>
      </c>
      <c r="BE7" s="3">
        <v>5</v>
      </c>
      <c r="BF7" s="3">
        <v>5</v>
      </c>
      <c r="BG7" s="3">
        <v>5</v>
      </c>
      <c r="BH7" s="3">
        <v>5</v>
      </c>
      <c r="BI7" s="3">
        <v>10</v>
      </c>
      <c r="BJ7" s="3">
        <v>15</v>
      </c>
      <c r="BK7" s="3">
        <v>15</v>
      </c>
      <c r="BL7" s="3">
        <v>30</v>
      </c>
      <c r="BM7" s="3">
        <v>35</v>
      </c>
      <c r="BN7" s="3">
        <v>55</v>
      </c>
      <c r="BO7" s="3">
        <v>100</v>
      </c>
      <c r="BP7" s="3">
        <v>195</v>
      </c>
      <c r="BQ7" s="3">
        <v>495</v>
      </c>
      <c r="BR7">
        <v>1235</v>
      </c>
      <c r="BS7">
        <v>1975</v>
      </c>
      <c r="BT7">
        <v>2490</v>
      </c>
      <c r="BU7">
        <v>1675</v>
      </c>
      <c r="BV7" s="3">
        <v>660</v>
      </c>
      <c r="BW7" s="3">
        <v>30</v>
      </c>
      <c r="BX7">
        <v>3565</v>
      </c>
      <c r="CF7" s="3">
        <v>5</v>
      </c>
      <c r="CG7" s="3">
        <v>5</v>
      </c>
      <c r="CH7" s="3">
        <v>5</v>
      </c>
      <c r="CI7" s="3">
        <v>15</v>
      </c>
      <c r="CJ7" s="3">
        <v>20</v>
      </c>
      <c r="CK7" s="3">
        <v>25</v>
      </c>
      <c r="CL7" s="3">
        <v>25</v>
      </c>
      <c r="CM7" s="3">
        <v>45</v>
      </c>
      <c r="CN7" s="3">
        <v>95</v>
      </c>
      <c r="CO7" s="3">
        <v>195</v>
      </c>
      <c r="CP7" s="3">
        <v>535</v>
      </c>
      <c r="CQ7" s="3">
        <v>760</v>
      </c>
      <c r="CR7" s="3">
        <v>955</v>
      </c>
      <c r="CS7" s="3">
        <v>585</v>
      </c>
      <c r="CT7" s="3">
        <v>265</v>
      </c>
      <c r="CU7" s="3">
        <v>15</v>
      </c>
      <c r="CV7">
        <v>1250</v>
      </c>
      <c r="DI7" s="3">
        <v>5</v>
      </c>
      <c r="DJ7" s="3">
        <v>15</v>
      </c>
      <c r="DK7" s="3">
        <v>15</v>
      </c>
      <c r="DL7" s="3">
        <v>25</v>
      </c>
      <c r="DM7" s="3">
        <v>40</v>
      </c>
      <c r="DN7" s="3">
        <v>105</v>
      </c>
      <c r="DO7" s="3">
        <v>215</v>
      </c>
      <c r="DP7" s="3">
        <v>265</v>
      </c>
      <c r="DQ7" s="3">
        <v>205</v>
      </c>
      <c r="DR7" s="3">
        <v>95</v>
      </c>
      <c r="DS7" s="3">
        <v>250</v>
      </c>
    </row>
    <row r="8" spans="1:123" x14ac:dyDescent="0.25">
      <c r="A8" s="4">
        <v>2002</v>
      </c>
      <c r="B8" s="4"/>
      <c r="C8">
        <v>63170</v>
      </c>
      <c r="D8">
        <v>26995</v>
      </c>
      <c r="F8" s="3">
        <v>5</v>
      </c>
      <c r="H8" s="3">
        <v>15</v>
      </c>
      <c r="I8" s="3">
        <v>15</v>
      </c>
      <c r="J8" s="3">
        <v>25</v>
      </c>
      <c r="K8" s="3">
        <v>25</v>
      </c>
      <c r="L8" s="3">
        <v>35</v>
      </c>
      <c r="M8" s="3">
        <v>45</v>
      </c>
      <c r="N8" s="3">
        <v>80</v>
      </c>
      <c r="O8" s="3">
        <v>85</v>
      </c>
      <c r="P8" s="3">
        <v>125</v>
      </c>
      <c r="Q8" s="3">
        <v>205</v>
      </c>
      <c r="R8" s="3">
        <v>285</v>
      </c>
      <c r="S8" s="3">
        <v>420</v>
      </c>
      <c r="T8" s="3">
        <v>740</v>
      </c>
      <c r="U8">
        <v>1560</v>
      </c>
      <c r="V8">
        <v>3225</v>
      </c>
      <c r="W8">
        <v>5635</v>
      </c>
      <c r="X8">
        <v>6975</v>
      </c>
      <c r="Y8">
        <v>5105</v>
      </c>
      <c r="Z8">
        <v>2345</v>
      </c>
      <c r="AA8" s="3">
        <v>40</v>
      </c>
      <c r="AB8">
        <v>23135</v>
      </c>
      <c r="AF8" s="3">
        <v>10</v>
      </c>
      <c r="AG8" s="3">
        <v>10</v>
      </c>
      <c r="AH8" s="3">
        <v>10</v>
      </c>
      <c r="AI8" s="3">
        <v>20</v>
      </c>
      <c r="AJ8" s="3">
        <v>20</v>
      </c>
      <c r="AK8" s="3">
        <v>35</v>
      </c>
      <c r="AL8" s="3">
        <v>30</v>
      </c>
      <c r="AM8" s="3">
        <v>35</v>
      </c>
      <c r="AN8" s="3">
        <v>65</v>
      </c>
      <c r="AO8" s="3">
        <v>85</v>
      </c>
      <c r="AP8" s="3">
        <v>165</v>
      </c>
      <c r="AQ8" s="3">
        <v>240</v>
      </c>
      <c r="AR8" s="3">
        <v>435</v>
      </c>
      <c r="AS8">
        <v>1210</v>
      </c>
      <c r="AT8">
        <v>3215</v>
      </c>
      <c r="AU8">
        <v>5325</v>
      </c>
      <c r="AV8">
        <v>6525</v>
      </c>
      <c r="AW8">
        <v>4220</v>
      </c>
      <c r="AX8">
        <v>1375</v>
      </c>
      <c r="AY8" s="3">
        <v>105</v>
      </c>
      <c r="AZ8">
        <v>8825</v>
      </c>
      <c r="BG8" s="3">
        <v>5</v>
      </c>
      <c r="BH8" s="3">
        <v>15</v>
      </c>
      <c r="BI8" s="3">
        <v>10</v>
      </c>
      <c r="BJ8" s="3">
        <v>15</v>
      </c>
      <c r="BK8" s="3">
        <v>15</v>
      </c>
      <c r="BL8" s="3">
        <v>15</v>
      </c>
      <c r="BM8" s="3">
        <v>35</v>
      </c>
      <c r="BN8" s="3">
        <v>60</v>
      </c>
      <c r="BO8" s="3">
        <v>105</v>
      </c>
      <c r="BP8" s="3">
        <v>165</v>
      </c>
      <c r="BQ8" s="3">
        <v>500</v>
      </c>
      <c r="BR8">
        <v>1285</v>
      </c>
      <c r="BS8">
        <v>1930</v>
      </c>
      <c r="BT8">
        <v>2450</v>
      </c>
      <c r="BU8">
        <v>1585</v>
      </c>
      <c r="BV8" s="3">
        <v>580</v>
      </c>
      <c r="BW8" s="3">
        <v>40</v>
      </c>
      <c r="BX8">
        <v>3620</v>
      </c>
      <c r="CC8" s="3">
        <v>5</v>
      </c>
      <c r="CG8" s="3">
        <v>5</v>
      </c>
      <c r="CH8" s="3">
        <v>5</v>
      </c>
      <c r="CI8" s="3">
        <v>5</v>
      </c>
      <c r="CJ8" s="3">
        <v>15</v>
      </c>
      <c r="CK8" s="3">
        <v>20</v>
      </c>
      <c r="CL8" s="3">
        <v>30</v>
      </c>
      <c r="CM8" s="3">
        <v>50</v>
      </c>
      <c r="CN8" s="3">
        <v>90</v>
      </c>
      <c r="CO8" s="3">
        <v>270</v>
      </c>
      <c r="CP8" s="3">
        <v>530</v>
      </c>
      <c r="CQ8" s="3">
        <v>795</v>
      </c>
      <c r="CR8" s="3">
        <v>910</v>
      </c>
      <c r="CS8" s="3">
        <v>600</v>
      </c>
      <c r="CT8" s="3">
        <v>250</v>
      </c>
      <c r="CU8" s="3">
        <v>20</v>
      </c>
      <c r="CV8" s="3">
        <v>595</v>
      </c>
      <c r="DI8" s="3">
        <v>5</v>
      </c>
      <c r="DK8" s="3">
        <v>5</v>
      </c>
      <c r="DL8" s="3">
        <v>10</v>
      </c>
      <c r="DM8" s="3">
        <v>15</v>
      </c>
      <c r="DN8" s="3">
        <v>35</v>
      </c>
      <c r="DO8" s="3">
        <v>70</v>
      </c>
      <c r="DP8" s="3">
        <v>80</v>
      </c>
      <c r="DQ8" s="3">
        <v>75</v>
      </c>
      <c r="DR8" s="3">
        <v>30</v>
      </c>
      <c r="DS8" s="3">
        <v>255</v>
      </c>
    </row>
    <row r="9" spans="1:123" x14ac:dyDescent="0.25">
      <c r="A9" s="4">
        <v>2003</v>
      </c>
      <c r="B9" s="4"/>
      <c r="C9">
        <v>63790</v>
      </c>
      <c r="D9">
        <v>27385</v>
      </c>
      <c r="E9" s="3">
        <v>10</v>
      </c>
      <c r="G9" s="3">
        <v>15</v>
      </c>
      <c r="H9" s="3">
        <v>15</v>
      </c>
      <c r="I9" s="3">
        <v>25</v>
      </c>
      <c r="J9" s="3">
        <v>30</v>
      </c>
      <c r="K9" s="3">
        <v>40</v>
      </c>
      <c r="L9" s="3">
        <v>35</v>
      </c>
      <c r="M9" s="3">
        <v>60</v>
      </c>
      <c r="N9" s="3">
        <v>65</v>
      </c>
      <c r="O9" s="3">
        <v>80</v>
      </c>
      <c r="P9" s="3">
        <v>145</v>
      </c>
      <c r="Q9" s="3">
        <v>175</v>
      </c>
      <c r="R9" s="3">
        <v>275</v>
      </c>
      <c r="S9" s="3">
        <v>460</v>
      </c>
      <c r="T9" s="3">
        <v>775</v>
      </c>
      <c r="U9">
        <v>1630</v>
      </c>
      <c r="V9">
        <v>3495</v>
      </c>
      <c r="W9">
        <v>5655</v>
      </c>
      <c r="X9">
        <v>7000</v>
      </c>
      <c r="Y9">
        <v>5175</v>
      </c>
      <c r="Z9">
        <v>2205</v>
      </c>
      <c r="AA9" s="3">
        <v>30</v>
      </c>
      <c r="AB9">
        <v>23430</v>
      </c>
      <c r="AG9" s="3">
        <v>15</v>
      </c>
      <c r="AH9" s="3">
        <v>10</v>
      </c>
      <c r="AI9" s="3">
        <v>15</v>
      </c>
      <c r="AJ9" s="3">
        <v>25</v>
      </c>
      <c r="AK9" s="3">
        <v>25</v>
      </c>
      <c r="AL9" s="3">
        <v>35</v>
      </c>
      <c r="AM9" s="3">
        <v>40</v>
      </c>
      <c r="AN9" s="3">
        <v>75</v>
      </c>
      <c r="AO9" s="3">
        <v>105</v>
      </c>
      <c r="AP9" s="3">
        <v>145</v>
      </c>
      <c r="AQ9" s="3">
        <v>230</v>
      </c>
      <c r="AR9" s="3">
        <v>470</v>
      </c>
      <c r="AS9">
        <v>1255</v>
      </c>
      <c r="AT9">
        <v>3380</v>
      </c>
      <c r="AU9">
        <v>5525</v>
      </c>
      <c r="AV9">
        <v>6550</v>
      </c>
      <c r="AW9">
        <v>4075</v>
      </c>
      <c r="AX9">
        <v>1320</v>
      </c>
      <c r="AY9" s="3">
        <v>125</v>
      </c>
      <c r="AZ9">
        <v>9060</v>
      </c>
      <c r="BF9" s="3">
        <v>10</v>
      </c>
      <c r="BG9" s="3">
        <v>5</v>
      </c>
      <c r="BH9" s="3">
        <v>5</v>
      </c>
      <c r="BI9" s="3">
        <v>15</v>
      </c>
      <c r="BJ9" s="3">
        <v>10</v>
      </c>
      <c r="BK9" s="3">
        <v>20</v>
      </c>
      <c r="BL9" s="3">
        <v>35</v>
      </c>
      <c r="BM9" s="3">
        <v>35</v>
      </c>
      <c r="BN9" s="3">
        <v>60</v>
      </c>
      <c r="BO9" s="3">
        <v>90</v>
      </c>
      <c r="BP9" s="3">
        <v>190</v>
      </c>
      <c r="BQ9" s="3">
        <v>540</v>
      </c>
      <c r="BR9">
        <v>1420</v>
      </c>
      <c r="BS9">
        <v>2075</v>
      </c>
      <c r="BT9">
        <v>2410</v>
      </c>
      <c r="BU9">
        <v>1530</v>
      </c>
      <c r="BV9" s="3">
        <v>560</v>
      </c>
      <c r="BW9" s="3">
        <v>40</v>
      </c>
      <c r="BX9">
        <v>3330</v>
      </c>
      <c r="CE9" s="3">
        <v>5</v>
      </c>
      <c r="CF9" s="3">
        <v>5</v>
      </c>
      <c r="CG9" s="3">
        <v>5</v>
      </c>
      <c r="CH9" s="3">
        <v>10</v>
      </c>
      <c r="CI9" s="3">
        <v>15</v>
      </c>
      <c r="CJ9" s="3">
        <v>15</v>
      </c>
      <c r="CK9" s="3">
        <v>15</v>
      </c>
      <c r="CL9" s="3">
        <v>35</v>
      </c>
      <c r="CM9" s="3">
        <v>50</v>
      </c>
      <c r="CN9" s="3">
        <v>65</v>
      </c>
      <c r="CO9" s="3">
        <v>225</v>
      </c>
      <c r="CP9" s="3">
        <v>515</v>
      </c>
      <c r="CQ9" s="3">
        <v>740</v>
      </c>
      <c r="CR9" s="3">
        <v>830</v>
      </c>
      <c r="CS9" s="3">
        <v>550</v>
      </c>
      <c r="CT9" s="3">
        <v>235</v>
      </c>
      <c r="CU9" s="3">
        <v>10</v>
      </c>
      <c r="CV9" s="3">
        <v>585</v>
      </c>
      <c r="DK9" s="3">
        <v>5</v>
      </c>
      <c r="DL9" s="3">
        <v>10</v>
      </c>
      <c r="DM9" s="3">
        <v>20</v>
      </c>
      <c r="DN9" s="3">
        <v>35</v>
      </c>
      <c r="DO9" s="3">
        <v>60</v>
      </c>
      <c r="DP9" s="3">
        <v>80</v>
      </c>
      <c r="DQ9" s="3">
        <v>45</v>
      </c>
      <c r="DR9" s="3">
        <v>10</v>
      </c>
      <c r="DS9" s="3">
        <v>300</v>
      </c>
    </row>
    <row r="10" spans="1:123" x14ac:dyDescent="0.25">
      <c r="A10" s="4">
        <v>2004</v>
      </c>
      <c r="B10" s="4"/>
      <c r="C10">
        <v>63890</v>
      </c>
      <c r="D10">
        <v>27165</v>
      </c>
      <c r="E10" s="3">
        <v>10</v>
      </c>
      <c r="F10" s="3">
        <v>10</v>
      </c>
      <c r="G10" s="3">
        <v>30</v>
      </c>
      <c r="H10" s="3">
        <v>20</v>
      </c>
      <c r="I10" s="3">
        <v>30</v>
      </c>
      <c r="J10" s="3">
        <v>30</v>
      </c>
      <c r="K10" s="3">
        <v>35</v>
      </c>
      <c r="L10" s="3">
        <v>50</v>
      </c>
      <c r="M10" s="3">
        <v>50</v>
      </c>
      <c r="N10" s="3">
        <v>70</v>
      </c>
      <c r="O10" s="3">
        <v>90</v>
      </c>
      <c r="P10" s="3">
        <v>130</v>
      </c>
      <c r="Q10" s="3">
        <v>185</v>
      </c>
      <c r="R10" s="3">
        <v>300</v>
      </c>
      <c r="S10" s="3">
        <v>430</v>
      </c>
      <c r="T10" s="3">
        <v>780</v>
      </c>
      <c r="U10">
        <v>1640</v>
      </c>
      <c r="V10">
        <v>3535</v>
      </c>
      <c r="W10">
        <v>5690</v>
      </c>
      <c r="X10">
        <v>7070</v>
      </c>
      <c r="Y10">
        <v>4885</v>
      </c>
      <c r="Z10">
        <v>2045</v>
      </c>
      <c r="AA10" s="3">
        <v>45</v>
      </c>
      <c r="AB10">
        <v>23235</v>
      </c>
      <c r="AD10" s="3">
        <v>5</v>
      </c>
      <c r="AE10" s="3">
        <v>5</v>
      </c>
      <c r="AF10" s="3">
        <v>10</v>
      </c>
      <c r="AG10" s="3">
        <v>15</v>
      </c>
      <c r="AH10" s="3">
        <v>15</v>
      </c>
      <c r="AI10" s="3">
        <v>15</v>
      </c>
      <c r="AJ10" s="3">
        <v>25</v>
      </c>
      <c r="AK10" s="3">
        <v>25</v>
      </c>
      <c r="AL10" s="3">
        <v>35</v>
      </c>
      <c r="AM10" s="3">
        <v>30</v>
      </c>
      <c r="AN10" s="3">
        <v>60</v>
      </c>
      <c r="AO10" s="3">
        <v>80</v>
      </c>
      <c r="AP10" s="3">
        <v>135</v>
      </c>
      <c r="AQ10" s="3">
        <v>210</v>
      </c>
      <c r="AR10" s="3">
        <v>465</v>
      </c>
      <c r="AS10">
        <v>1330</v>
      </c>
      <c r="AT10">
        <v>3720</v>
      </c>
      <c r="AU10">
        <v>5520</v>
      </c>
      <c r="AV10">
        <v>6495</v>
      </c>
      <c r="AW10">
        <v>3830</v>
      </c>
      <c r="AX10">
        <v>1095</v>
      </c>
      <c r="AY10" s="3">
        <v>120</v>
      </c>
      <c r="AZ10">
        <v>9105</v>
      </c>
      <c r="BC10" s="3">
        <v>5</v>
      </c>
      <c r="BE10" s="3">
        <v>5</v>
      </c>
      <c r="BF10" s="3">
        <v>10</v>
      </c>
      <c r="BI10" s="3">
        <v>10</v>
      </c>
      <c r="BJ10" s="3">
        <v>15</v>
      </c>
      <c r="BK10" s="3">
        <v>20</v>
      </c>
      <c r="BL10" s="3">
        <v>25</v>
      </c>
      <c r="BM10" s="3">
        <v>35</v>
      </c>
      <c r="BN10" s="3">
        <v>70</v>
      </c>
      <c r="BO10" s="3">
        <v>90</v>
      </c>
      <c r="BP10" s="3">
        <v>195</v>
      </c>
      <c r="BQ10" s="3">
        <v>570</v>
      </c>
      <c r="BR10">
        <v>1490</v>
      </c>
      <c r="BS10">
        <v>2045</v>
      </c>
      <c r="BT10">
        <v>2455</v>
      </c>
      <c r="BU10">
        <v>1500</v>
      </c>
      <c r="BV10" s="3">
        <v>505</v>
      </c>
      <c r="BW10" s="3">
        <v>50</v>
      </c>
      <c r="BX10">
        <v>3365</v>
      </c>
      <c r="CA10" s="3">
        <v>5</v>
      </c>
      <c r="CF10" s="3">
        <v>5</v>
      </c>
      <c r="CH10" s="3">
        <v>10</v>
      </c>
      <c r="CI10" s="3">
        <v>10</v>
      </c>
      <c r="CJ10" s="3">
        <v>20</v>
      </c>
      <c r="CK10" s="3">
        <v>15</v>
      </c>
      <c r="CL10" s="3">
        <v>25</v>
      </c>
      <c r="CM10" s="3">
        <v>50</v>
      </c>
      <c r="CN10" s="3">
        <v>90</v>
      </c>
      <c r="CO10" s="3">
        <v>230</v>
      </c>
      <c r="CP10" s="3">
        <v>580</v>
      </c>
      <c r="CQ10" s="3">
        <v>735</v>
      </c>
      <c r="CR10" s="3">
        <v>825</v>
      </c>
      <c r="CS10" s="3">
        <v>555</v>
      </c>
      <c r="CT10" s="3">
        <v>185</v>
      </c>
      <c r="CU10" s="3">
        <v>10</v>
      </c>
      <c r="CV10">
        <v>1020</v>
      </c>
      <c r="DH10" s="3">
        <v>5</v>
      </c>
      <c r="DI10" s="3">
        <v>5</v>
      </c>
      <c r="DJ10" s="3">
        <v>5</v>
      </c>
      <c r="DK10" s="3">
        <v>15</v>
      </c>
      <c r="DL10" s="3">
        <v>20</v>
      </c>
      <c r="DM10" s="3">
        <v>40</v>
      </c>
      <c r="DN10" s="3">
        <v>100</v>
      </c>
      <c r="DO10" s="3">
        <v>160</v>
      </c>
      <c r="DP10" s="3">
        <v>195</v>
      </c>
      <c r="DQ10" s="3">
        <v>105</v>
      </c>
      <c r="DR10" s="3">
        <v>50</v>
      </c>
      <c r="DS10" s="3">
        <v>305</v>
      </c>
    </row>
    <row r="11" spans="1:123" x14ac:dyDescent="0.25">
      <c r="A11" s="4">
        <v>2005</v>
      </c>
      <c r="B11" s="4"/>
      <c r="C11">
        <v>63565</v>
      </c>
      <c r="D11">
        <v>26850</v>
      </c>
      <c r="E11" s="3">
        <v>5</v>
      </c>
      <c r="F11" s="3">
        <v>15</v>
      </c>
      <c r="G11" s="3">
        <v>15</v>
      </c>
      <c r="H11" s="3">
        <v>25</v>
      </c>
      <c r="I11" s="3">
        <v>30</v>
      </c>
      <c r="J11" s="3">
        <v>25</v>
      </c>
      <c r="K11" s="3">
        <v>45</v>
      </c>
      <c r="L11" s="3">
        <v>40</v>
      </c>
      <c r="M11" s="3">
        <v>50</v>
      </c>
      <c r="N11" s="3">
        <v>70</v>
      </c>
      <c r="O11" s="3">
        <v>80</v>
      </c>
      <c r="P11" s="3">
        <v>120</v>
      </c>
      <c r="Q11" s="3">
        <v>180</v>
      </c>
      <c r="R11" s="3">
        <v>295</v>
      </c>
      <c r="S11" s="3">
        <v>425</v>
      </c>
      <c r="T11" s="3">
        <v>715</v>
      </c>
      <c r="U11">
        <v>1610</v>
      </c>
      <c r="V11">
        <v>3425</v>
      </c>
      <c r="W11">
        <v>5595</v>
      </c>
      <c r="X11">
        <v>7110</v>
      </c>
      <c r="Y11">
        <v>4880</v>
      </c>
      <c r="Z11">
        <v>2065</v>
      </c>
      <c r="AA11" s="3">
        <v>30</v>
      </c>
      <c r="AB11">
        <v>23520</v>
      </c>
      <c r="AC11" s="3">
        <v>5</v>
      </c>
      <c r="AD11" s="3">
        <v>10</v>
      </c>
      <c r="AE11" s="3">
        <v>10</v>
      </c>
      <c r="AF11" s="3">
        <v>10</v>
      </c>
      <c r="AG11" s="3">
        <v>10</v>
      </c>
      <c r="AH11" s="3">
        <v>15</v>
      </c>
      <c r="AI11" s="3">
        <v>15</v>
      </c>
      <c r="AJ11" s="3">
        <v>25</v>
      </c>
      <c r="AK11" s="3">
        <v>25</v>
      </c>
      <c r="AL11" s="3">
        <v>35</v>
      </c>
      <c r="AM11" s="3">
        <v>35</v>
      </c>
      <c r="AN11" s="3">
        <v>60</v>
      </c>
      <c r="AO11" s="3">
        <v>100</v>
      </c>
      <c r="AP11" s="3">
        <v>130</v>
      </c>
      <c r="AQ11" s="3">
        <v>195</v>
      </c>
      <c r="AR11" s="3">
        <v>455</v>
      </c>
      <c r="AS11">
        <v>1300</v>
      </c>
      <c r="AT11">
        <v>3590</v>
      </c>
      <c r="AU11">
        <v>5635</v>
      </c>
      <c r="AV11">
        <v>6545</v>
      </c>
      <c r="AW11">
        <v>4100</v>
      </c>
      <c r="AX11">
        <v>1100</v>
      </c>
      <c r="AY11" s="3">
        <v>105</v>
      </c>
      <c r="AZ11">
        <v>8910</v>
      </c>
      <c r="BC11" s="3">
        <v>10</v>
      </c>
      <c r="BE11" s="3">
        <v>5</v>
      </c>
      <c r="BF11" s="3">
        <v>5</v>
      </c>
      <c r="BG11" s="3">
        <v>5</v>
      </c>
      <c r="BH11" s="3">
        <v>5</v>
      </c>
      <c r="BI11" s="3">
        <v>10</v>
      </c>
      <c r="BJ11" s="3">
        <v>10</v>
      </c>
      <c r="BK11" s="3">
        <v>15</v>
      </c>
      <c r="BL11" s="3">
        <v>25</v>
      </c>
      <c r="BM11" s="3">
        <v>30</v>
      </c>
      <c r="BN11" s="3">
        <v>50</v>
      </c>
      <c r="BO11" s="3">
        <v>75</v>
      </c>
      <c r="BP11" s="3">
        <v>175</v>
      </c>
      <c r="BQ11" s="3">
        <v>510</v>
      </c>
      <c r="BR11">
        <v>1435</v>
      </c>
      <c r="BS11">
        <v>2070</v>
      </c>
      <c r="BT11">
        <v>2455</v>
      </c>
      <c r="BU11">
        <v>1530</v>
      </c>
      <c r="BV11" s="3">
        <v>450</v>
      </c>
      <c r="BW11" s="3">
        <v>30</v>
      </c>
      <c r="BX11">
        <v>3380</v>
      </c>
      <c r="CA11" s="3">
        <v>10</v>
      </c>
      <c r="CG11" s="3">
        <v>5</v>
      </c>
      <c r="CH11" s="3">
        <v>5</v>
      </c>
      <c r="CI11" s="3">
        <v>5</v>
      </c>
      <c r="CJ11" s="3">
        <v>15</v>
      </c>
      <c r="CK11" s="3">
        <v>20</v>
      </c>
      <c r="CL11" s="3">
        <v>30</v>
      </c>
      <c r="CM11" s="3">
        <v>55</v>
      </c>
      <c r="CN11" s="3">
        <v>70</v>
      </c>
      <c r="CO11" s="3">
        <v>235</v>
      </c>
      <c r="CP11" s="3">
        <v>580</v>
      </c>
      <c r="CQ11" s="3">
        <v>725</v>
      </c>
      <c r="CR11" s="3">
        <v>870</v>
      </c>
      <c r="CS11" s="3">
        <v>535</v>
      </c>
      <c r="CT11" s="3">
        <v>190</v>
      </c>
      <c r="CU11" s="3">
        <v>10</v>
      </c>
      <c r="CV11" s="3">
        <v>905</v>
      </c>
      <c r="DJ11" s="3">
        <v>5</v>
      </c>
      <c r="DK11" s="3">
        <v>10</v>
      </c>
      <c r="DL11" s="3">
        <v>25</v>
      </c>
      <c r="DM11" s="3">
        <v>35</v>
      </c>
      <c r="DN11" s="3">
        <v>90</v>
      </c>
      <c r="DO11" s="3">
        <v>145</v>
      </c>
      <c r="DP11" s="3">
        <v>170</v>
      </c>
      <c r="DQ11" s="3">
        <v>95</v>
      </c>
      <c r="DR11" s="3">
        <v>35</v>
      </c>
      <c r="DS11" s="3">
        <v>275</v>
      </c>
    </row>
    <row r="12" spans="1:123" x14ac:dyDescent="0.25">
      <c r="A12" s="4">
        <v>2006</v>
      </c>
      <c r="B12" s="4"/>
      <c r="C12">
        <v>64360</v>
      </c>
      <c r="D12">
        <v>27925</v>
      </c>
      <c r="E12" s="3">
        <v>10</v>
      </c>
      <c r="F12" s="3">
        <v>20</v>
      </c>
      <c r="G12" s="3">
        <v>20</v>
      </c>
      <c r="H12" s="3">
        <v>20</v>
      </c>
      <c r="I12" s="3">
        <v>30</v>
      </c>
      <c r="J12" s="3">
        <v>25</v>
      </c>
      <c r="K12" s="3">
        <v>30</v>
      </c>
      <c r="L12" s="3">
        <v>50</v>
      </c>
      <c r="M12" s="3">
        <v>40</v>
      </c>
      <c r="N12" s="3">
        <v>50</v>
      </c>
      <c r="O12" s="3">
        <v>100</v>
      </c>
      <c r="P12" s="3">
        <v>120</v>
      </c>
      <c r="Q12" s="3">
        <v>195</v>
      </c>
      <c r="R12" s="3">
        <v>295</v>
      </c>
      <c r="S12" s="3">
        <v>440</v>
      </c>
      <c r="T12" s="3">
        <v>785</v>
      </c>
      <c r="U12">
        <v>1560</v>
      </c>
      <c r="V12">
        <v>3615</v>
      </c>
      <c r="W12">
        <v>6045</v>
      </c>
      <c r="X12">
        <v>7405</v>
      </c>
      <c r="Y12">
        <v>5060</v>
      </c>
      <c r="Z12">
        <v>1980</v>
      </c>
      <c r="AA12" s="3">
        <v>45</v>
      </c>
      <c r="AB12">
        <v>23195</v>
      </c>
      <c r="AC12" s="3">
        <v>5</v>
      </c>
      <c r="AD12" s="3">
        <v>10</v>
      </c>
      <c r="AE12" s="3">
        <v>10</v>
      </c>
      <c r="AF12" s="3">
        <v>15</v>
      </c>
      <c r="AG12" s="3">
        <v>5</v>
      </c>
      <c r="AH12" s="3">
        <v>10</v>
      </c>
      <c r="AI12" s="3">
        <v>10</v>
      </c>
      <c r="AJ12" s="3">
        <v>25</v>
      </c>
      <c r="AK12" s="3">
        <v>20</v>
      </c>
      <c r="AL12" s="3">
        <v>20</v>
      </c>
      <c r="AM12" s="3">
        <v>25</v>
      </c>
      <c r="AN12" s="3">
        <v>55</v>
      </c>
      <c r="AO12" s="3">
        <v>75</v>
      </c>
      <c r="AP12" s="3">
        <v>125</v>
      </c>
      <c r="AQ12" s="3">
        <v>205</v>
      </c>
      <c r="AR12" s="3">
        <v>435</v>
      </c>
      <c r="AS12">
        <v>1185</v>
      </c>
      <c r="AT12">
        <v>3490</v>
      </c>
      <c r="AU12">
        <v>5585</v>
      </c>
      <c r="AV12">
        <v>6690</v>
      </c>
      <c r="AW12">
        <v>4000</v>
      </c>
      <c r="AX12">
        <v>1040</v>
      </c>
      <c r="AY12" s="3">
        <v>145</v>
      </c>
      <c r="AZ12">
        <v>8895</v>
      </c>
      <c r="BG12" s="3">
        <v>5</v>
      </c>
      <c r="BI12" s="3">
        <v>10</v>
      </c>
      <c r="BJ12" s="3">
        <v>10</v>
      </c>
      <c r="BK12" s="3">
        <v>20</v>
      </c>
      <c r="BL12" s="3">
        <v>20</v>
      </c>
      <c r="BM12" s="3">
        <v>25</v>
      </c>
      <c r="BN12" s="3">
        <v>55</v>
      </c>
      <c r="BO12" s="3">
        <v>90</v>
      </c>
      <c r="BP12" s="3">
        <v>155</v>
      </c>
      <c r="BQ12" s="3">
        <v>510</v>
      </c>
      <c r="BR12">
        <v>1535</v>
      </c>
      <c r="BS12">
        <v>2025</v>
      </c>
      <c r="BT12">
        <v>2420</v>
      </c>
      <c r="BU12">
        <v>1575</v>
      </c>
      <c r="BV12" s="3">
        <v>395</v>
      </c>
      <c r="BW12" s="3">
        <v>30</v>
      </c>
      <c r="BX12">
        <v>3235</v>
      </c>
      <c r="BZ12" s="3">
        <v>5</v>
      </c>
      <c r="CH12" s="3">
        <v>5</v>
      </c>
      <c r="CI12" s="3">
        <v>10</v>
      </c>
      <c r="CJ12" s="3">
        <v>15</v>
      </c>
      <c r="CK12" s="3">
        <v>15</v>
      </c>
      <c r="CL12" s="3">
        <v>30</v>
      </c>
      <c r="CM12" s="3">
        <v>50</v>
      </c>
      <c r="CN12" s="3">
        <v>90</v>
      </c>
      <c r="CO12" s="3">
        <v>215</v>
      </c>
      <c r="CP12" s="3">
        <v>540</v>
      </c>
      <c r="CQ12" s="3">
        <v>690</v>
      </c>
      <c r="CR12" s="3">
        <v>835</v>
      </c>
      <c r="CS12" s="3">
        <v>540</v>
      </c>
      <c r="CT12" s="3">
        <v>170</v>
      </c>
      <c r="CU12" s="3">
        <v>10</v>
      </c>
      <c r="CV12">
        <v>1110</v>
      </c>
      <c r="DD12" s="3">
        <v>5</v>
      </c>
      <c r="DH12" s="3">
        <v>10</v>
      </c>
      <c r="DJ12" s="3">
        <v>10</v>
      </c>
      <c r="DK12" s="3">
        <v>25</v>
      </c>
      <c r="DL12" s="3">
        <v>20</v>
      </c>
      <c r="DM12" s="3">
        <v>65</v>
      </c>
      <c r="DN12" s="3">
        <v>120</v>
      </c>
      <c r="DO12" s="3">
        <v>175</v>
      </c>
      <c r="DP12" s="3">
        <v>190</v>
      </c>
      <c r="DQ12" s="3">
        <v>140</v>
      </c>
      <c r="DR12" s="3">
        <v>50</v>
      </c>
      <c r="DS12" s="3">
        <v>290</v>
      </c>
    </row>
    <row r="13" spans="1:123" x14ac:dyDescent="0.25">
      <c r="A13" s="4">
        <v>2007</v>
      </c>
      <c r="B13" s="4"/>
      <c r="C13">
        <v>63695</v>
      </c>
      <c r="D13">
        <v>27770</v>
      </c>
      <c r="E13" s="3">
        <v>5</v>
      </c>
      <c r="F13" s="3">
        <v>25</v>
      </c>
      <c r="G13" s="3">
        <v>20</v>
      </c>
      <c r="H13" s="3">
        <v>20</v>
      </c>
      <c r="I13" s="3">
        <v>35</v>
      </c>
      <c r="J13" s="3">
        <v>30</v>
      </c>
      <c r="K13" s="3">
        <v>30</v>
      </c>
      <c r="L13" s="3">
        <v>50</v>
      </c>
      <c r="M13" s="3">
        <v>65</v>
      </c>
      <c r="N13" s="3">
        <v>60</v>
      </c>
      <c r="O13" s="3">
        <v>95</v>
      </c>
      <c r="P13" s="3">
        <v>110</v>
      </c>
      <c r="Q13" s="3">
        <v>185</v>
      </c>
      <c r="R13" s="3">
        <v>290</v>
      </c>
      <c r="S13" s="3">
        <v>440</v>
      </c>
      <c r="T13" s="3">
        <v>765</v>
      </c>
      <c r="U13">
        <v>1630</v>
      </c>
      <c r="V13">
        <v>3675</v>
      </c>
      <c r="W13">
        <v>5775</v>
      </c>
      <c r="X13">
        <v>7455</v>
      </c>
      <c r="Y13">
        <v>4975</v>
      </c>
      <c r="Z13">
        <v>2005</v>
      </c>
      <c r="AA13" s="3">
        <v>30</v>
      </c>
      <c r="AB13">
        <v>22625</v>
      </c>
      <c r="AD13" s="3">
        <v>10</v>
      </c>
      <c r="AE13" s="3">
        <v>10</v>
      </c>
      <c r="AF13" s="3">
        <v>5</v>
      </c>
      <c r="AG13" s="3">
        <v>5</v>
      </c>
      <c r="AH13" s="3">
        <v>10</v>
      </c>
      <c r="AI13" s="3">
        <v>10</v>
      </c>
      <c r="AJ13" s="3">
        <v>20</v>
      </c>
      <c r="AK13" s="3">
        <v>25</v>
      </c>
      <c r="AL13" s="3">
        <v>30</v>
      </c>
      <c r="AM13" s="3">
        <v>55</v>
      </c>
      <c r="AN13" s="3">
        <v>50</v>
      </c>
      <c r="AO13" s="3">
        <v>80</v>
      </c>
      <c r="AP13" s="3">
        <v>140</v>
      </c>
      <c r="AQ13" s="3">
        <v>210</v>
      </c>
      <c r="AR13" s="3">
        <v>430</v>
      </c>
      <c r="AS13">
        <v>1160</v>
      </c>
      <c r="AT13">
        <v>3510</v>
      </c>
      <c r="AU13">
        <v>5290</v>
      </c>
      <c r="AV13">
        <v>6625</v>
      </c>
      <c r="AW13">
        <v>3900</v>
      </c>
      <c r="AX13" s="3">
        <v>950</v>
      </c>
      <c r="AY13" s="3">
        <v>105</v>
      </c>
      <c r="AZ13">
        <v>8860</v>
      </c>
      <c r="BD13" s="3">
        <v>5</v>
      </c>
      <c r="BE13" s="3">
        <v>5</v>
      </c>
      <c r="BF13" s="3">
        <v>5</v>
      </c>
      <c r="BG13" s="3">
        <v>5</v>
      </c>
      <c r="BH13" s="3">
        <v>10</v>
      </c>
      <c r="BI13" s="3">
        <v>5</v>
      </c>
      <c r="BJ13" s="3">
        <v>20</v>
      </c>
      <c r="BK13" s="3">
        <v>10</v>
      </c>
      <c r="BL13" s="3">
        <v>20</v>
      </c>
      <c r="BM13" s="3">
        <v>35</v>
      </c>
      <c r="BN13" s="3">
        <v>55</v>
      </c>
      <c r="BO13" s="3">
        <v>95</v>
      </c>
      <c r="BP13" s="3">
        <v>165</v>
      </c>
      <c r="BQ13" s="3">
        <v>475</v>
      </c>
      <c r="BR13">
        <v>1485</v>
      </c>
      <c r="BS13">
        <v>2060</v>
      </c>
      <c r="BT13">
        <v>2485</v>
      </c>
      <c r="BU13">
        <v>1485</v>
      </c>
      <c r="BV13" s="3">
        <v>400</v>
      </c>
      <c r="BW13" s="3">
        <v>30</v>
      </c>
      <c r="BX13">
        <v>3080</v>
      </c>
      <c r="BZ13" s="3">
        <v>5</v>
      </c>
      <c r="CE13" s="3">
        <v>5</v>
      </c>
      <c r="CF13" s="3">
        <v>5</v>
      </c>
      <c r="CI13" s="3">
        <v>10</v>
      </c>
      <c r="CJ13" s="3">
        <v>10</v>
      </c>
      <c r="CK13" s="3">
        <v>15</v>
      </c>
      <c r="CL13" s="3">
        <v>30</v>
      </c>
      <c r="CM13" s="3">
        <v>30</v>
      </c>
      <c r="CN13" s="3">
        <v>75</v>
      </c>
      <c r="CO13" s="3">
        <v>230</v>
      </c>
      <c r="CP13" s="3">
        <v>510</v>
      </c>
      <c r="CQ13" s="3">
        <v>670</v>
      </c>
      <c r="CR13" s="3">
        <v>800</v>
      </c>
      <c r="CS13" s="3">
        <v>500</v>
      </c>
      <c r="CT13" s="3">
        <v>155</v>
      </c>
      <c r="CU13" s="3">
        <v>20</v>
      </c>
      <c r="CV13">
        <v>1360</v>
      </c>
      <c r="DG13" s="3">
        <v>5</v>
      </c>
      <c r="DI13" s="3">
        <v>10</v>
      </c>
      <c r="DJ13" s="3">
        <v>15</v>
      </c>
      <c r="DK13" s="3">
        <v>15</v>
      </c>
      <c r="DL13" s="3">
        <v>20</v>
      </c>
      <c r="DM13" s="3">
        <v>45</v>
      </c>
      <c r="DN13" s="3">
        <v>150</v>
      </c>
      <c r="DO13" s="3">
        <v>220</v>
      </c>
      <c r="DP13" s="3">
        <v>275</v>
      </c>
      <c r="DQ13" s="3">
        <v>170</v>
      </c>
      <c r="DR13" s="3">
        <v>60</v>
      </c>
      <c r="DS13" s="3">
        <v>355</v>
      </c>
    </row>
    <row r="14" spans="1:123" x14ac:dyDescent="0.25">
      <c r="A14" s="4">
        <v>2008</v>
      </c>
      <c r="B14" s="4"/>
      <c r="C14">
        <v>64530</v>
      </c>
      <c r="D14">
        <v>27830</v>
      </c>
      <c r="E14" s="3">
        <v>10</v>
      </c>
      <c r="F14" s="3">
        <v>25</v>
      </c>
      <c r="G14" s="3">
        <v>20</v>
      </c>
      <c r="H14" s="3">
        <v>10</v>
      </c>
      <c r="I14" s="3">
        <v>25</v>
      </c>
      <c r="J14" s="3">
        <v>25</v>
      </c>
      <c r="K14" s="3">
        <v>30</v>
      </c>
      <c r="L14" s="3">
        <v>50</v>
      </c>
      <c r="M14" s="3">
        <v>40</v>
      </c>
      <c r="N14" s="3">
        <v>60</v>
      </c>
      <c r="O14" s="3">
        <v>85</v>
      </c>
      <c r="P14" s="3">
        <v>120</v>
      </c>
      <c r="Q14" s="3">
        <v>170</v>
      </c>
      <c r="R14" s="3">
        <v>285</v>
      </c>
      <c r="S14" s="3">
        <v>445</v>
      </c>
      <c r="T14" s="3">
        <v>715</v>
      </c>
      <c r="U14">
        <v>1575</v>
      </c>
      <c r="V14">
        <v>3505</v>
      </c>
      <c r="W14">
        <v>5940</v>
      </c>
      <c r="X14">
        <v>7550</v>
      </c>
      <c r="Y14">
        <v>5155</v>
      </c>
      <c r="Z14">
        <v>1940</v>
      </c>
      <c r="AA14" s="3">
        <v>50</v>
      </c>
      <c r="AB14">
        <v>23070</v>
      </c>
      <c r="AD14" s="3">
        <v>20</v>
      </c>
      <c r="AE14" s="3">
        <v>15</v>
      </c>
      <c r="AF14" s="3">
        <v>10</v>
      </c>
      <c r="AG14" s="3">
        <v>5</v>
      </c>
      <c r="AH14" s="3">
        <v>10</v>
      </c>
      <c r="AI14" s="3">
        <v>10</v>
      </c>
      <c r="AJ14" s="3">
        <v>25</v>
      </c>
      <c r="AK14" s="3">
        <v>15</v>
      </c>
      <c r="AL14" s="3">
        <v>25</v>
      </c>
      <c r="AM14" s="3">
        <v>30</v>
      </c>
      <c r="AN14" s="3">
        <v>70</v>
      </c>
      <c r="AO14" s="3">
        <v>85</v>
      </c>
      <c r="AP14" s="3">
        <v>145</v>
      </c>
      <c r="AQ14" s="3">
        <v>215</v>
      </c>
      <c r="AR14" s="3">
        <v>405</v>
      </c>
      <c r="AS14">
        <v>1135</v>
      </c>
      <c r="AT14">
        <v>3455</v>
      </c>
      <c r="AU14">
        <v>5435</v>
      </c>
      <c r="AV14">
        <v>6515</v>
      </c>
      <c r="AW14">
        <v>4275</v>
      </c>
      <c r="AX14">
        <v>1030</v>
      </c>
      <c r="AY14" s="3">
        <v>130</v>
      </c>
      <c r="AZ14">
        <v>8990</v>
      </c>
      <c r="BB14" s="3">
        <v>5</v>
      </c>
      <c r="BG14" s="3">
        <v>10</v>
      </c>
      <c r="BH14" s="3">
        <v>5</v>
      </c>
      <c r="BI14" s="3">
        <v>15</v>
      </c>
      <c r="BJ14" s="3">
        <v>10</v>
      </c>
      <c r="BK14" s="3">
        <v>15</v>
      </c>
      <c r="BL14" s="3">
        <v>15</v>
      </c>
      <c r="BM14" s="3">
        <v>35</v>
      </c>
      <c r="BN14" s="3">
        <v>50</v>
      </c>
      <c r="BO14" s="3">
        <v>75</v>
      </c>
      <c r="BP14" s="3">
        <v>180</v>
      </c>
      <c r="BQ14" s="3">
        <v>465</v>
      </c>
      <c r="BR14">
        <v>1475</v>
      </c>
      <c r="BS14">
        <v>2030</v>
      </c>
      <c r="BT14">
        <v>2465</v>
      </c>
      <c r="BU14">
        <v>1635</v>
      </c>
      <c r="BV14" s="3">
        <v>435</v>
      </c>
      <c r="BW14" s="3">
        <v>45</v>
      </c>
      <c r="BX14">
        <v>3195</v>
      </c>
      <c r="CD14" s="3">
        <v>5</v>
      </c>
      <c r="CE14" s="3">
        <v>5</v>
      </c>
      <c r="CF14" s="3">
        <v>5</v>
      </c>
      <c r="CH14" s="3">
        <v>10</v>
      </c>
      <c r="CI14" s="3">
        <v>10</v>
      </c>
      <c r="CJ14" s="3">
        <v>10</v>
      </c>
      <c r="CK14" s="3">
        <v>15</v>
      </c>
      <c r="CL14" s="3">
        <v>25</v>
      </c>
      <c r="CM14" s="3">
        <v>45</v>
      </c>
      <c r="CN14" s="3">
        <v>70</v>
      </c>
      <c r="CO14" s="3">
        <v>240</v>
      </c>
      <c r="CP14" s="3">
        <v>510</v>
      </c>
      <c r="CQ14" s="3">
        <v>705</v>
      </c>
      <c r="CR14" s="3">
        <v>865</v>
      </c>
      <c r="CS14" s="3">
        <v>485</v>
      </c>
      <c r="CT14" s="3">
        <v>165</v>
      </c>
      <c r="CU14" s="3">
        <v>15</v>
      </c>
      <c r="CV14">
        <v>1450</v>
      </c>
      <c r="DF14" s="3">
        <v>5</v>
      </c>
      <c r="DG14" s="3">
        <v>10</v>
      </c>
      <c r="DI14" s="3">
        <v>10</v>
      </c>
      <c r="DJ14" s="3">
        <v>10</v>
      </c>
      <c r="DK14" s="3">
        <v>20</v>
      </c>
      <c r="DL14" s="3">
        <v>35</v>
      </c>
      <c r="DM14" s="3">
        <v>65</v>
      </c>
      <c r="DN14" s="3">
        <v>155</v>
      </c>
      <c r="DO14" s="3">
        <v>225</v>
      </c>
      <c r="DP14" s="3">
        <v>285</v>
      </c>
      <c r="DQ14" s="3">
        <v>170</v>
      </c>
      <c r="DR14" s="3">
        <v>65</v>
      </c>
      <c r="DS14" s="3">
        <v>370</v>
      </c>
    </row>
    <row r="15" spans="1:123" x14ac:dyDescent="0.25">
      <c r="A15" s="4">
        <v>2009</v>
      </c>
      <c r="B15" s="4"/>
      <c r="C15">
        <v>62435</v>
      </c>
      <c r="D15">
        <v>27615</v>
      </c>
      <c r="F15" s="3">
        <v>15</v>
      </c>
      <c r="G15" s="3">
        <v>20</v>
      </c>
      <c r="H15" s="3">
        <v>35</v>
      </c>
      <c r="I15" s="3">
        <v>20</v>
      </c>
      <c r="J15" s="3">
        <v>30</v>
      </c>
      <c r="K15" s="3">
        <v>25</v>
      </c>
      <c r="L15" s="3">
        <v>40</v>
      </c>
      <c r="M15" s="3">
        <v>60</v>
      </c>
      <c r="N15" s="3">
        <v>80</v>
      </c>
      <c r="O15" s="3">
        <v>85</v>
      </c>
      <c r="P15" s="3">
        <v>85</v>
      </c>
      <c r="Q15" s="3">
        <v>165</v>
      </c>
      <c r="R15" s="3">
        <v>275</v>
      </c>
      <c r="S15" s="3">
        <v>455</v>
      </c>
      <c r="T15" s="3">
        <v>675</v>
      </c>
      <c r="U15">
        <v>1495</v>
      </c>
      <c r="V15">
        <v>3470</v>
      </c>
      <c r="W15">
        <v>5895</v>
      </c>
      <c r="X15">
        <v>7595</v>
      </c>
      <c r="Y15">
        <v>5095</v>
      </c>
      <c r="Z15">
        <v>1960</v>
      </c>
      <c r="AA15" s="3">
        <v>45</v>
      </c>
      <c r="AB15">
        <v>22435</v>
      </c>
      <c r="AC15" s="3">
        <v>5</v>
      </c>
      <c r="AD15" s="3">
        <v>10</v>
      </c>
      <c r="AE15" s="3">
        <v>5</v>
      </c>
      <c r="AF15" s="3">
        <v>5</v>
      </c>
      <c r="AG15" s="3">
        <v>10</v>
      </c>
      <c r="AH15" s="3">
        <v>5</v>
      </c>
      <c r="AI15" s="3">
        <v>15</v>
      </c>
      <c r="AJ15" s="3">
        <v>10</v>
      </c>
      <c r="AK15" s="3">
        <v>25</v>
      </c>
      <c r="AL15" s="3">
        <v>20</v>
      </c>
      <c r="AM15" s="3">
        <v>30</v>
      </c>
      <c r="AN15" s="3">
        <v>45</v>
      </c>
      <c r="AO15" s="3">
        <v>80</v>
      </c>
      <c r="AP15" s="3">
        <v>135</v>
      </c>
      <c r="AQ15" s="3">
        <v>185</v>
      </c>
      <c r="AR15" s="3">
        <v>395</v>
      </c>
      <c r="AS15">
        <v>1085</v>
      </c>
      <c r="AT15">
        <v>3270</v>
      </c>
      <c r="AU15">
        <v>5245</v>
      </c>
      <c r="AV15">
        <v>6545</v>
      </c>
      <c r="AW15">
        <v>4170</v>
      </c>
      <c r="AX15">
        <v>1015</v>
      </c>
      <c r="AY15" s="3">
        <v>120</v>
      </c>
      <c r="AZ15">
        <v>8345</v>
      </c>
      <c r="BB15" s="3">
        <v>10</v>
      </c>
      <c r="BF15" s="3">
        <v>5</v>
      </c>
      <c r="BH15" s="3">
        <v>10</v>
      </c>
      <c r="BI15" s="3">
        <v>5</v>
      </c>
      <c r="BJ15" s="3">
        <v>15</v>
      </c>
      <c r="BK15" s="3">
        <v>20</v>
      </c>
      <c r="BL15" s="3">
        <v>15</v>
      </c>
      <c r="BM15" s="3">
        <v>30</v>
      </c>
      <c r="BN15" s="3">
        <v>55</v>
      </c>
      <c r="BO15" s="3">
        <v>85</v>
      </c>
      <c r="BP15" s="3">
        <v>130</v>
      </c>
      <c r="BQ15" s="3">
        <v>450</v>
      </c>
      <c r="BR15">
        <v>1390</v>
      </c>
      <c r="BS15">
        <v>1820</v>
      </c>
      <c r="BT15">
        <v>2300</v>
      </c>
      <c r="BU15">
        <v>1510</v>
      </c>
      <c r="BV15" s="3">
        <v>435</v>
      </c>
      <c r="BW15" s="3">
        <v>50</v>
      </c>
      <c r="BX15">
        <v>2930</v>
      </c>
      <c r="CC15" s="3">
        <v>5</v>
      </c>
      <c r="CD15" s="3">
        <v>5</v>
      </c>
      <c r="CH15" s="3">
        <v>10</v>
      </c>
      <c r="CI15" s="3">
        <v>5</v>
      </c>
      <c r="CJ15" s="3">
        <v>10</v>
      </c>
      <c r="CK15" s="3">
        <v>10</v>
      </c>
      <c r="CL15" s="3">
        <v>30</v>
      </c>
      <c r="CM15" s="3">
        <v>30</v>
      </c>
      <c r="CN15" s="3">
        <v>75</v>
      </c>
      <c r="CO15" s="3">
        <v>195</v>
      </c>
      <c r="CP15" s="3">
        <v>485</v>
      </c>
      <c r="CQ15" s="3">
        <v>635</v>
      </c>
      <c r="CR15" s="3">
        <v>775</v>
      </c>
      <c r="CS15" s="3">
        <v>465</v>
      </c>
      <c r="CT15" s="3">
        <v>160</v>
      </c>
      <c r="CU15" s="3">
        <v>20</v>
      </c>
      <c r="CV15">
        <v>1110</v>
      </c>
      <c r="DH15" s="3">
        <v>10</v>
      </c>
      <c r="DJ15" s="3">
        <v>10</v>
      </c>
      <c r="DK15" s="3">
        <v>10</v>
      </c>
      <c r="DL15" s="3">
        <v>25</v>
      </c>
      <c r="DM15" s="3">
        <v>40</v>
      </c>
      <c r="DN15" s="3">
        <v>85</v>
      </c>
      <c r="DO15" s="3">
        <v>175</v>
      </c>
      <c r="DP15" s="3">
        <v>175</v>
      </c>
      <c r="DQ15" s="3">
        <v>130</v>
      </c>
      <c r="DR15" s="3">
        <v>55</v>
      </c>
      <c r="DS15" s="3">
        <v>390</v>
      </c>
    </row>
    <row r="16" spans="1:123" x14ac:dyDescent="0.25">
      <c r="A16" s="4">
        <v>2010</v>
      </c>
      <c r="B16" s="4"/>
      <c r="C16">
        <v>63065</v>
      </c>
      <c r="D16">
        <v>27845</v>
      </c>
      <c r="E16" s="3">
        <v>10</v>
      </c>
      <c r="F16" s="3">
        <v>25</v>
      </c>
      <c r="G16" s="3">
        <v>20</v>
      </c>
      <c r="H16" s="3">
        <v>20</v>
      </c>
      <c r="I16" s="3">
        <v>25</v>
      </c>
      <c r="J16" s="3">
        <v>25</v>
      </c>
      <c r="K16" s="3">
        <v>35</v>
      </c>
      <c r="L16" s="3">
        <v>35</v>
      </c>
      <c r="M16" s="3">
        <v>45</v>
      </c>
      <c r="N16" s="3">
        <v>80</v>
      </c>
      <c r="O16" s="3">
        <v>80</v>
      </c>
      <c r="P16" s="3">
        <v>130</v>
      </c>
      <c r="Q16" s="3">
        <v>155</v>
      </c>
      <c r="R16" s="3">
        <v>265</v>
      </c>
      <c r="S16" s="3">
        <v>405</v>
      </c>
      <c r="T16" s="3">
        <v>745</v>
      </c>
      <c r="U16">
        <v>1505</v>
      </c>
      <c r="V16">
        <v>3490</v>
      </c>
      <c r="W16">
        <v>5740</v>
      </c>
      <c r="X16">
        <v>7610</v>
      </c>
      <c r="Y16">
        <v>5445</v>
      </c>
      <c r="Z16">
        <v>1935</v>
      </c>
      <c r="AA16" s="3">
        <v>25</v>
      </c>
      <c r="AB16">
        <v>22830</v>
      </c>
      <c r="AC16" s="3">
        <v>10</v>
      </c>
      <c r="AD16" s="3">
        <v>10</v>
      </c>
      <c r="AE16" s="3">
        <v>5</v>
      </c>
      <c r="AF16" s="3">
        <v>10</v>
      </c>
      <c r="AG16" s="3">
        <v>15</v>
      </c>
      <c r="AH16" s="3">
        <v>15</v>
      </c>
      <c r="AI16" s="3">
        <v>15</v>
      </c>
      <c r="AJ16" s="3">
        <v>15</v>
      </c>
      <c r="AK16" s="3">
        <v>20</v>
      </c>
      <c r="AL16" s="3">
        <v>30</v>
      </c>
      <c r="AM16" s="3">
        <v>35</v>
      </c>
      <c r="AN16" s="3">
        <v>55</v>
      </c>
      <c r="AO16" s="3">
        <v>70</v>
      </c>
      <c r="AP16" s="3">
        <v>120</v>
      </c>
      <c r="AQ16" s="3">
        <v>200</v>
      </c>
      <c r="AR16" s="3">
        <v>385</v>
      </c>
      <c r="AS16">
        <v>1080</v>
      </c>
      <c r="AT16">
        <v>3170</v>
      </c>
      <c r="AU16">
        <v>5230</v>
      </c>
      <c r="AV16">
        <v>6825</v>
      </c>
      <c r="AW16">
        <v>4375</v>
      </c>
      <c r="AX16">
        <v>1055</v>
      </c>
      <c r="AY16" s="3">
        <v>95</v>
      </c>
      <c r="AZ16">
        <v>8500</v>
      </c>
      <c r="BB16" s="3">
        <v>5</v>
      </c>
      <c r="BC16" s="3">
        <v>5</v>
      </c>
      <c r="BF16" s="3">
        <v>5</v>
      </c>
      <c r="BG16" s="3">
        <v>5</v>
      </c>
      <c r="BH16" s="3">
        <v>10</v>
      </c>
      <c r="BI16" s="3">
        <v>5</v>
      </c>
      <c r="BJ16" s="3">
        <v>10</v>
      </c>
      <c r="BK16" s="3">
        <v>10</v>
      </c>
      <c r="BL16" s="3">
        <v>15</v>
      </c>
      <c r="BM16" s="3">
        <v>20</v>
      </c>
      <c r="BN16" s="3">
        <v>45</v>
      </c>
      <c r="BO16" s="3">
        <v>80</v>
      </c>
      <c r="BP16" s="3">
        <v>135</v>
      </c>
      <c r="BQ16" s="3">
        <v>420</v>
      </c>
      <c r="BR16">
        <v>1385</v>
      </c>
      <c r="BS16">
        <v>1910</v>
      </c>
      <c r="BT16">
        <v>2375</v>
      </c>
      <c r="BU16">
        <v>1610</v>
      </c>
      <c r="BV16" s="3">
        <v>405</v>
      </c>
      <c r="BW16" s="3">
        <v>35</v>
      </c>
      <c r="BX16">
        <v>2895</v>
      </c>
      <c r="CE16" s="3">
        <v>5</v>
      </c>
      <c r="CG16" s="3">
        <v>5</v>
      </c>
      <c r="CI16" s="3">
        <v>10</v>
      </c>
      <c r="CJ16" s="3">
        <v>15</v>
      </c>
      <c r="CK16" s="3">
        <v>15</v>
      </c>
      <c r="CL16" s="3">
        <v>25</v>
      </c>
      <c r="CM16" s="3">
        <v>35</v>
      </c>
      <c r="CN16" s="3">
        <v>70</v>
      </c>
      <c r="CO16" s="3">
        <v>165</v>
      </c>
      <c r="CP16" s="3">
        <v>515</v>
      </c>
      <c r="CQ16" s="3">
        <v>670</v>
      </c>
      <c r="CR16" s="3">
        <v>700</v>
      </c>
      <c r="CS16" s="3">
        <v>490</v>
      </c>
      <c r="CT16" s="3">
        <v>145</v>
      </c>
      <c r="CU16" s="3">
        <v>15</v>
      </c>
      <c r="CV16">
        <v>1000</v>
      </c>
      <c r="DJ16" s="3">
        <v>10</v>
      </c>
      <c r="DK16" s="3">
        <v>10</v>
      </c>
      <c r="DL16" s="3">
        <v>15</v>
      </c>
      <c r="DM16" s="3">
        <v>45</v>
      </c>
      <c r="DN16" s="3">
        <v>60</v>
      </c>
      <c r="DO16" s="3">
        <v>125</v>
      </c>
      <c r="DP16" s="3">
        <v>135</v>
      </c>
      <c r="DQ16" s="3">
        <v>120</v>
      </c>
      <c r="DR16" s="3">
        <v>40</v>
      </c>
      <c r="DS16" s="3">
        <v>420</v>
      </c>
    </row>
    <row r="17" spans="1:123" x14ac:dyDescent="0.25">
      <c r="A17" s="4">
        <v>2011</v>
      </c>
      <c r="B17" s="4"/>
      <c r="C17">
        <v>58745</v>
      </c>
      <c r="D17">
        <v>25920</v>
      </c>
      <c r="E17" s="3">
        <v>10</v>
      </c>
      <c r="F17" s="3">
        <v>20</v>
      </c>
      <c r="G17" s="3">
        <v>25</v>
      </c>
      <c r="H17" s="3">
        <v>25</v>
      </c>
      <c r="I17" s="3">
        <v>20</v>
      </c>
      <c r="J17" s="3">
        <v>35</v>
      </c>
      <c r="K17" s="3">
        <v>35</v>
      </c>
      <c r="L17" s="3">
        <v>45</v>
      </c>
      <c r="M17" s="3">
        <v>40</v>
      </c>
      <c r="N17" s="3">
        <v>55</v>
      </c>
      <c r="O17" s="3">
        <v>85</v>
      </c>
      <c r="P17" s="3">
        <v>90</v>
      </c>
      <c r="Q17" s="3">
        <v>160</v>
      </c>
      <c r="R17" s="3">
        <v>260</v>
      </c>
      <c r="S17" s="3">
        <v>385</v>
      </c>
      <c r="T17" s="3">
        <v>615</v>
      </c>
      <c r="U17">
        <v>1380</v>
      </c>
      <c r="V17">
        <v>3075</v>
      </c>
      <c r="W17">
        <v>5270</v>
      </c>
      <c r="X17">
        <v>7240</v>
      </c>
      <c r="Y17">
        <v>5775</v>
      </c>
      <c r="Z17">
        <v>1260</v>
      </c>
      <c r="AA17" s="3">
        <v>25</v>
      </c>
      <c r="AB17">
        <v>21585</v>
      </c>
      <c r="AC17" s="3">
        <v>5</v>
      </c>
      <c r="AD17" s="3">
        <v>15</v>
      </c>
      <c r="AE17" s="3">
        <v>10</v>
      </c>
      <c r="AF17" s="3">
        <v>5</v>
      </c>
      <c r="AG17" s="3">
        <v>10</v>
      </c>
      <c r="AH17" s="3">
        <v>5</v>
      </c>
      <c r="AI17" s="3">
        <v>20</v>
      </c>
      <c r="AJ17" s="3">
        <v>25</v>
      </c>
      <c r="AK17" s="3">
        <v>20</v>
      </c>
      <c r="AL17" s="3">
        <v>25</v>
      </c>
      <c r="AM17" s="3">
        <v>40</v>
      </c>
      <c r="AN17" s="3">
        <v>45</v>
      </c>
      <c r="AO17" s="3">
        <v>90</v>
      </c>
      <c r="AP17" s="3">
        <v>140</v>
      </c>
      <c r="AQ17" s="3">
        <v>195</v>
      </c>
      <c r="AR17" s="3">
        <v>340</v>
      </c>
      <c r="AS17">
        <v>1050</v>
      </c>
      <c r="AT17">
        <v>3010</v>
      </c>
      <c r="AU17">
        <v>4820</v>
      </c>
      <c r="AV17">
        <v>6260</v>
      </c>
      <c r="AW17">
        <v>4600</v>
      </c>
      <c r="AX17" s="3">
        <v>650</v>
      </c>
      <c r="AY17" s="3">
        <v>205</v>
      </c>
      <c r="AZ17">
        <v>7450</v>
      </c>
      <c r="BB17" s="3">
        <v>10</v>
      </c>
      <c r="BC17" s="3">
        <v>5</v>
      </c>
      <c r="BE17" s="3">
        <v>5</v>
      </c>
      <c r="BF17" s="3">
        <v>5</v>
      </c>
      <c r="BH17" s="3">
        <v>5</v>
      </c>
      <c r="BI17" s="3">
        <v>10</v>
      </c>
      <c r="BJ17" s="3">
        <v>10</v>
      </c>
      <c r="BK17" s="3">
        <v>15</v>
      </c>
      <c r="BL17" s="3">
        <v>10</v>
      </c>
      <c r="BM17" s="3">
        <v>20</v>
      </c>
      <c r="BN17" s="3">
        <v>40</v>
      </c>
      <c r="BO17" s="3">
        <v>65</v>
      </c>
      <c r="BP17" s="3">
        <v>140</v>
      </c>
      <c r="BQ17" s="3">
        <v>390</v>
      </c>
      <c r="BR17">
        <v>1150</v>
      </c>
      <c r="BS17">
        <v>1605</v>
      </c>
      <c r="BT17">
        <v>2040</v>
      </c>
      <c r="BU17">
        <v>1555</v>
      </c>
      <c r="BV17" s="3">
        <v>250</v>
      </c>
      <c r="BW17" s="3">
        <v>105</v>
      </c>
      <c r="BX17">
        <v>2535</v>
      </c>
      <c r="BZ17" s="3">
        <v>15</v>
      </c>
      <c r="CG17" s="3">
        <v>5</v>
      </c>
      <c r="CH17" s="3">
        <v>5</v>
      </c>
      <c r="CI17" s="3">
        <v>5</v>
      </c>
      <c r="CJ17" s="3">
        <v>5</v>
      </c>
      <c r="CK17" s="3">
        <v>10</v>
      </c>
      <c r="CL17" s="3">
        <v>20</v>
      </c>
      <c r="CM17" s="3">
        <v>30</v>
      </c>
      <c r="CN17" s="3">
        <v>65</v>
      </c>
      <c r="CO17" s="3">
        <v>175</v>
      </c>
      <c r="CP17" s="3">
        <v>460</v>
      </c>
      <c r="CQ17" s="3">
        <v>545</v>
      </c>
      <c r="CR17" s="3">
        <v>630</v>
      </c>
      <c r="CS17" s="3">
        <v>435</v>
      </c>
      <c r="CT17" s="3">
        <v>80</v>
      </c>
      <c r="CU17" s="3">
        <v>35</v>
      </c>
      <c r="CV17">
        <v>1255</v>
      </c>
      <c r="CX17" s="3">
        <v>5</v>
      </c>
      <c r="DK17" s="3">
        <v>10</v>
      </c>
      <c r="DL17" s="3">
        <v>15</v>
      </c>
      <c r="DM17" s="3">
        <v>40</v>
      </c>
      <c r="DN17" s="3">
        <v>90</v>
      </c>
      <c r="DO17" s="3">
        <v>165</v>
      </c>
      <c r="DP17" s="3">
        <v>220</v>
      </c>
      <c r="DQ17" s="3">
        <v>165</v>
      </c>
      <c r="DR17" s="3">
        <v>55</v>
      </c>
      <c r="DS17" s="3">
        <v>455</v>
      </c>
    </row>
    <row r="18" spans="1:123" x14ac:dyDescent="0.25">
      <c r="A18" s="4">
        <v>2012</v>
      </c>
      <c r="B18" s="4"/>
      <c r="C18">
        <v>57715</v>
      </c>
      <c r="D18">
        <v>26160</v>
      </c>
      <c r="E18" s="3">
        <v>15</v>
      </c>
      <c r="F18" s="3">
        <v>20</v>
      </c>
      <c r="G18" s="3">
        <v>15</v>
      </c>
      <c r="H18" s="3">
        <v>20</v>
      </c>
      <c r="I18" s="3">
        <v>15</v>
      </c>
      <c r="J18" s="3">
        <v>20</v>
      </c>
      <c r="K18" s="3">
        <v>30</v>
      </c>
      <c r="L18" s="3">
        <v>40</v>
      </c>
      <c r="M18" s="3">
        <v>35</v>
      </c>
      <c r="N18" s="3">
        <v>55</v>
      </c>
      <c r="O18" s="3">
        <v>70</v>
      </c>
      <c r="P18" s="3">
        <v>120</v>
      </c>
      <c r="Q18" s="3">
        <v>155</v>
      </c>
      <c r="R18" s="3">
        <v>230</v>
      </c>
      <c r="S18" s="3">
        <v>390</v>
      </c>
      <c r="T18" s="3">
        <v>670</v>
      </c>
      <c r="U18">
        <v>1325</v>
      </c>
      <c r="V18">
        <v>3200</v>
      </c>
      <c r="W18">
        <v>5320</v>
      </c>
      <c r="X18">
        <v>7280</v>
      </c>
      <c r="Y18">
        <v>6595</v>
      </c>
      <c r="Z18" s="3">
        <v>525</v>
      </c>
      <c r="AA18" s="3">
        <v>15</v>
      </c>
      <c r="AB18">
        <v>20985</v>
      </c>
      <c r="AC18" s="3">
        <v>10</v>
      </c>
      <c r="AD18" s="3">
        <v>20</v>
      </c>
      <c r="AE18" s="3">
        <v>10</v>
      </c>
      <c r="AF18" s="3">
        <v>5</v>
      </c>
      <c r="AG18" s="3">
        <v>10</v>
      </c>
      <c r="AH18" s="3">
        <v>10</v>
      </c>
      <c r="AI18" s="3">
        <v>10</v>
      </c>
      <c r="AJ18" s="3">
        <v>15</v>
      </c>
      <c r="AK18" s="3">
        <v>15</v>
      </c>
      <c r="AL18" s="3">
        <v>30</v>
      </c>
      <c r="AM18" s="3">
        <v>35</v>
      </c>
      <c r="AN18" s="3">
        <v>35</v>
      </c>
      <c r="AO18" s="3">
        <v>80</v>
      </c>
      <c r="AP18" s="3">
        <v>110</v>
      </c>
      <c r="AQ18" s="3">
        <v>170</v>
      </c>
      <c r="AR18" s="3">
        <v>360</v>
      </c>
      <c r="AS18" s="3">
        <v>845</v>
      </c>
      <c r="AT18">
        <v>2945</v>
      </c>
      <c r="AU18">
        <v>4750</v>
      </c>
      <c r="AV18">
        <v>6400</v>
      </c>
      <c r="AW18">
        <v>4790</v>
      </c>
      <c r="AX18" s="3">
        <v>195</v>
      </c>
      <c r="AY18" s="3">
        <v>140</v>
      </c>
      <c r="AZ18">
        <v>7380</v>
      </c>
      <c r="BA18" s="3">
        <v>5</v>
      </c>
      <c r="BB18" s="3">
        <v>5</v>
      </c>
      <c r="BC18" s="3">
        <v>5</v>
      </c>
      <c r="BF18" s="3">
        <v>5</v>
      </c>
      <c r="BG18" s="3">
        <v>5</v>
      </c>
      <c r="BH18" s="3">
        <v>10</v>
      </c>
      <c r="BI18" s="3">
        <v>10</v>
      </c>
      <c r="BJ18" s="3">
        <v>10</v>
      </c>
      <c r="BK18" s="3">
        <v>15</v>
      </c>
      <c r="BL18" s="3">
        <v>15</v>
      </c>
      <c r="BM18" s="3">
        <v>25</v>
      </c>
      <c r="BN18" s="3">
        <v>45</v>
      </c>
      <c r="BO18" s="3">
        <v>55</v>
      </c>
      <c r="BP18" s="3">
        <v>125</v>
      </c>
      <c r="BQ18" s="3">
        <v>390</v>
      </c>
      <c r="BR18">
        <v>1215</v>
      </c>
      <c r="BS18">
        <v>1645</v>
      </c>
      <c r="BT18">
        <v>2055</v>
      </c>
      <c r="BU18">
        <v>1620</v>
      </c>
      <c r="BV18" s="3">
        <v>70</v>
      </c>
      <c r="BW18" s="3">
        <v>40</v>
      </c>
      <c r="BX18">
        <v>2545</v>
      </c>
      <c r="CH18" s="3">
        <v>5</v>
      </c>
      <c r="CI18" s="3">
        <v>5</v>
      </c>
      <c r="CJ18" s="3">
        <v>10</v>
      </c>
      <c r="CK18" s="3">
        <v>15</v>
      </c>
      <c r="CL18" s="3">
        <v>20</v>
      </c>
      <c r="CM18" s="3">
        <v>35</v>
      </c>
      <c r="CN18" s="3">
        <v>55</v>
      </c>
      <c r="CO18" s="3">
        <v>190</v>
      </c>
      <c r="CP18" s="3">
        <v>460</v>
      </c>
      <c r="CQ18" s="3">
        <v>515</v>
      </c>
      <c r="CR18" s="3">
        <v>710</v>
      </c>
      <c r="CS18" s="3">
        <v>440</v>
      </c>
      <c r="CT18" s="3">
        <v>40</v>
      </c>
      <c r="CU18" s="3">
        <v>20</v>
      </c>
      <c r="CV18" s="3">
        <v>645</v>
      </c>
      <c r="CX18" s="3">
        <v>5</v>
      </c>
      <c r="DL18" s="3">
        <v>10</v>
      </c>
      <c r="DM18" s="3">
        <v>5</v>
      </c>
      <c r="DN18" s="3">
        <v>15</v>
      </c>
      <c r="DO18" s="3">
        <v>35</v>
      </c>
      <c r="DP18" s="3">
        <v>50</v>
      </c>
      <c r="DQ18" s="3">
        <v>50</v>
      </c>
      <c r="DR18" s="3">
        <v>5</v>
      </c>
      <c r="DS18" s="3">
        <v>460</v>
      </c>
    </row>
    <row r="19" spans="1:123" x14ac:dyDescent="0.25">
      <c r="A19" s="4">
        <v>2013</v>
      </c>
      <c r="B19" s="4"/>
      <c r="C19">
        <v>55685</v>
      </c>
      <c r="D19">
        <v>25735</v>
      </c>
      <c r="E19" s="3">
        <v>10</v>
      </c>
      <c r="F19" s="3">
        <v>20</v>
      </c>
      <c r="G19" s="3">
        <v>15</v>
      </c>
      <c r="H19" s="3">
        <v>20</v>
      </c>
      <c r="I19" s="3">
        <v>30</v>
      </c>
      <c r="J19" s="3">
        <v>20</v>
      </c>
      <c r="K19" s="3">
        <v>35</v>
      </c>
      <c r="L19" s="3">
        <v>30</v>
      </c>
      <c r="M19" s="3">
        <v>45</v>
      </c>
      <c r="N19" s="3">
        <v>45</v>
      </c>
      <c r="O19" s="3">
        <v>55</v>
      </c>
      <c r="P19" s="3">
        <v>95</v>
      </c>
      <c r="Q19" s="3">
        <v>160</v>
      </c>
      <c r="R19" s="3">
        <v>245</v>
      </c>
      <c r="S19" s="3">
        <v>365</v>
      </c>
      <c r="T19" s="3">
        <v>585</v>
      </c>
      <c r="U19">
        <v>1300</v>
      </c>
      <c r="V19">
        <v>3015</v>
      </c>
      <c r="W19">
        <v>5265</v>
      </c>
      <c r="X19">
        <v>7235</v>
      </c>
      <c r="Y19">
        <v>6460</v>
      </c>
      <c r="Z19" s="3">
        <v>660</v>
      </c>
      <c r="AA19" s="3">
        <v>15</v>
      </c>
      <c r="AB19">
        <v>20095</v>
      </c>
      <c r="AC19" s="3">
        <v>5</v>
      </c>
      <c r="AD19" s="3">
        <v>15</v>
      </c>
      <c r="AF19" s="3">
        <v>10</v>
      </c>
      <c r="AG19" s="3">
        <v>10</v>
      </c>
      <c r="AH19" s="3">
        <v>10</v>
      </c>
      <c r="AI19" s="3">
        <v>15</v>
      </c>
      <c r="AJ19" s="3">
        <v>15</v>
      </c>
      <c r="AK19" s="3">
        <v>20</v>
      </c>
      <c r="AL19" s="3">
        <v>25</v>
      </c>
      <c r="AM19" s="3">
        <v>15</v>
      </c>
      <c r="AN19" s="3">
        <v>45</v>
      </c>
      <c r="AO19" s="3">
        <v>75</v>
      </c>
      <c r="AP19" s="3">
        <v>120</v>
      </c>
      <c r="AQ19" s="3">
        <v>180</v>
      </c>
      <c r="AR19" s="3">
        <v>330</v>
      </c>
      <c r="AS19" s="3">
        <v>915</v>
      </c>
      <c r="AT19">
        <v>2690</v>
      </c>
      <c r="AU19">
        <v>4630</v>
      </c>
      <c r="AV19">
        <v>5970</v>
      </c>
      <c r="AW19">
        <v>4675</v>
      </c>
      <c r="AX19" s="3">
        <v>200</v>
      </c>
      <c r="AY19" s="3">
        <v>125</v>
      </c>
      <c r="AZ19">
        <v>6900</v>
      </c>
      <c r="BB19" s="3">
        <v>5</v>
      </c>
      <c r="BG19" s="3">
        <v>5</v>
      </c>
      <c r="BI19" s="3">
        <v>10</v>
      </c>
      <c r="BJ19" s="3">
        <v>5</v>
      </c>
      <c r="BK19" s="3">
        <v>15</v>
      </c>
      <c r="BL19" s="3">
        <v>15</v>
      </c>
      <c r="BM19" s="3">
        <v>25</v>
      </c>
      <c r="BN19" s="3">
        <v>45</v>
      </c>
      <c r="BO19" s="3">
        <v>75</v>
      </c>
      <c r="BP19" s="3">
        <v>115</v>
      </c>
      <c r="BQ19" s="3">
        <v>325</v>
      </c>
      <c r="BR19">
        <v>1125</v>
      </c>
      <c r="BS19">
        <v>1520</v>
      </c>
      <c r="BT19">
        <v>1945</v>
      </c>
      <c r="BU19">
        <v>1550</v>
      </c>
      <c r="BV19" s="3">
        <v>70</v>
      </c>
      <c r="BW19" s="3">
        <v>40</v>
      </c>
      <c r="BX19">
        <v>2390</v>
      </c>
      <c r="CG19" s="3">
        <v>5</v>
      </c>
      <c r="CI19" s="3">
        <v>10</v>
      </c>
      <c r="CJ19" s="3">
        <v>10</v>
      </c>
      <c r="CK19" s="3">
        <v>10</v>
      </c>
      <c r="CL19" s="3">
        <v>15</v>
      </c>
      <c r="CM19" s="3">
        <v>30</v>
      </c>
      <c r="CN19" s="3">
        <v>50</v>
      </c>
      <c r="CO19" s="3">
        <v>165</v>
      </c>
      <c r="CP19" s="3">
        <v>435</v>
      </c>
      <c r="CQ19" s="3">
        <v>525</v>
      </c>
      <c r="CR19" s="3">
        <v>605</v>
      </c>
      <c r="CS19" s="3">
        <v>470</v>
      </c>
      <c r="CT19" s="3">
        <v>30</v>
      </c>
      <c r="CU19" s="3">
        <v>10</v>
      </c>
      <c r="CV19" s="3">
        <v>565</v>
      </c>
      <c r="DN19" s="3">
        <v>10</v>
      </c>
      <c r="DO19" s="3">
        <v>10</v>
      </c>
      <c r="DP19" s="3">
        <v>10</v>
      </c>
      <c r="DQ19" s="3">
        <v>10</v>
      </c>
      <c r="DS19" s="3">
        <v>515</v>
      </c>
    </row>
    <row r="20" spans="1:123" x14ac:dyDescent="0.25">
      <c r="A20" s="4">
        <v>2014</v>
      </c>
      <c r="B20" s="4"/>
      <c r="C20">
        <v>56740</v>
      </c>
      <c r="D20">
        <v>26220</v>
      </c>
      <c r="E20" s="3">
        <v>20</v>
      </c>
      <c r="F20" s="3">
        <v>15</v>
      </c>
      <c r="G20" s="3">
        <v>15</v>
      </c>
      <c r="H20" s="3">
        <v>20</v>
      </c>
      <c r="I20" s="3">
        <v>30</v>
      </c>
      <c r="J20" s="3">
        <v>25</v>
      </c>
      <c r="K20" s="3">
        <v>30</v>
      </c>
      <c r="L20" s="3">
        <v>35</v>
      </c>
      <c r="M20" s="3">
        <v>30</v>
      </c>
      <c r="N20" s="3">
        <v>55</v>
      </c>
      <c r="O20" s="3">
        <v>70</v>
      </c>
      <c r="P20" s="3">
        <v>105</v>
      </c>
      <c r="Q20" s="3">
        <v>140</v>
      </c>
      <c r="R20" s="3">
        <v>255</v>
      </c>
      <c r="S20" s="3">
        <v>370</v>
      </c>
      <c r="T20" s="3">
        <v>665</v>
      </c>
      <c r="U20">
        <v>1305</v>
      </c>
      <c r="V20">
        <v>3145</v>
      </c>
      <c r="W20">
        <v>5390</v>
      </c>
      <c r="X20">
        <v>7375</v>
      </c>
      <c r="Y20">
        <v>6370</v>
      </c>
      <c r="Z20" s="3">
        <v>745</v>
      </c>
      <c r="AA20" s="3">
        <v>15</v>
      </c>
      <c r="AB20">
        <v>20615</v>
      </c>
      <c r="AC20" s="3">
        <v>10</v>
      </c>
      <c r="AD20" s="3">
        <v>15</v>
      </c>
      <c r="AE20" s="3">
        <v>5</v>
      </c>
      <c r="AF20" s="3">
        <v>5</v>
      </c>
      <c r="AG20" s="3">
        <v>5</v>
      </c>
      <c r="AH20" s="3">
        <v>5</v>
      </c>
      <c r="AI20" s="3">
        <v>10</v>
      </c>
      <c r="AJ20" s="3">
        <v>10</v>
      </c>
      <c r="AK20" s="3">
        <v>15</v>
      </c>
      <c r="AL20" s="3">
        <v>15</v>
      </c>
      <c r="AM20" s="3">
        <v>30</v>
      </c>
      <c r="AN20" s="3">
        <v>45</v>
      </c>
      <c r="AO20" s="3">
        <v>70</v>
      </c>
      <c r="AP20" s="3">
        <v>120</v>
      </c>
      <c r="AQ20" s="3">
        <v>190</v>
      </c>
      <c r="AR20" s="3">
        <v>365</v>
      </c>
      <c r="AS20" s="3">
        <v>935</v>
      </c>
      <c r="AT20">
        <v>2850</v>
      </c>
      <c r="AU20">
        <v>4680</v>
      </c>
      <c r="AV20">
        <v>6175</v>
      </c>
      <c r="AW20">
        <v>4695</v>
      </c>
      <c r="AX20" s="3">
        <v>255</v>
      </c>
      <c r="AY20" s="3">
        <v>95</v>
      </c>
      <c r="AZ20">
        <v>6950</v>
      </c>
      <c r="BG20" s="3">
        <v>5</v>
      </c>
      <c r="BH20" s="3">
        <v>5</v>
      </c>
      <c r="BI20" s="3">
        <v>5</v>
      </c>
      <c r="BJ20" s="3">
        <v>5</v>
      </c>
      <c r="BK20" s="3">
        <v>10</v>
      </c>
      <c r="BL20" s="3">
        <v>15</v>
      </c>
      <c r="BM20" s="3">
        <v>20</v>
      </c>
      <c r="BN20" s="3">
        <v>50</v>
      </c>
      <c r="BO20" s="3">
        <v>50</v>
      </c>
      <c r="BP20" s="3">
        <v>115</v>
      </c>
      <c r="BQ20" s="3">
        <v>370</v>
      </c>
      <c r="BR20">
        <v>1105</v>
      </c>
      <c r="BS20">
        <v>1555</v>
      </c>
      <c r="BT20">
        <v>2020</v>
      </c>
      <c r="BU20">
        <v>1475</v>
      </c>
      <c r="BV20" s="3">
        <v>75</v>
      </c>
      <c r="BW20" s="3">
        <v>40</v>
      </c>
      <c r="BX20">
        <v>2450</v>
      </c>
      <c r="CF20" s="3">
        <v>10</v>
      </c>
      <c r="CG20" s="3">
        <v>5</v>
      </c>
      <c r="CH20" s="3">
        <v>10</v>
      </c>
      <c r="CI20" s="3">
        <v>10</v>
      </c>
      <c r="CJ20" s="3">
        <v>10</v>
      </c>
      <c r="CK20" s="3">
        <v>15</v>
      </c>
      <c r="CL20" s="3">
        <v>20</v>
      </c>
      <c r="CM20" s="3">
        <v>20</v>
      </c>
      <c r="CN20" s="3">
        <v>60</v>
      </c>
      <c r="CO20" s="3">
        <v>145</v>
      </c>
      <c r="CP20" s="3">
        <v>440</v>
      </c>
      <c r="CQ20" s="3">
        <v>515</v>
      </c>
      <c r="CR20" s="3">
        <v>670</v>
      </c>
      <c r="CS20" s="3">
        <v>455</v>
      </c>
      <c r="CT20" s="3">
        <v>40</v>
      </c>
      <c r="CU20" s="3">
        <v>10</v>
      </c>
      <c r="CV20" s="3">
        <v>505</v>
      </c>
      <c r="DN20" s="3">
        <v>10</v>
      </c>
      <c r="DO20" s="3">
        <v>5</v>
      </c>
      <c r="DP20" s="3">
        <v>15</v>
      </c>
      <c r="DQ20" s="3">
        <v>15</v>
      </c>
      <c r="DS20" s="3">
        <v>450</v>
      </c>
    </row>
    <row r="21" spans="1:123" x14ac:dyDescent="0.25">
      <c r="A21" s="4">
        <v>2015</v>
      </c>
      <c r="B21" s="4"/>
      <c r="C21">
        <v>58190</v>
      </c>
      <c r="D21">
        <v>27205</v>
      </c>
      <c r="E21" s="3">
        <v>15</v>
      </c>
      <c r="F21" s="3">
        <v>20</v>
      </c>
      <c r="G21" s="3">
        <v>15</v>
      </c>
      <c r="H21" s="3">
        <v>20</v>
      </c>
      <c r="I21" s="3">
        <v>25</v>
      </c>
      <c r="J21" s="3">
        <v>25</v>
      </c>
      <c r="K21" s="3">
        <v>30</v>
      </c>
      <c r="L21" s="3">
        <v>30</v>
      </c>
      <c r="M21" s="3">
        <v>45</v>
      </c>
      <c r="N21" s="3">
        <v>55</v>
      </c>
      <c r="O21" s="3">
        <v>65</v>
      </c>
      <c r="P21" s="3">
        <v>95</v>
      </c>
      <c r="Q21" s="3">
        <v>155</v>
      </c>
      <c r="R21" s="3">
        <v>250</v>
      </c>
      <c r="S21" s="3">
        <v>410</v>
      </c>
      <c r="T21" s="3">
        <v>605</v>
      </c>
      <c r="U21">
        <v>1360</v>
      </c>
      <c r="V21">
        <v>3215</v>
      </c>
      <c r="W21">
        <v>5640</v>
      </c>
      <c r="X21">
        <v>7605</v>
      </c>
      <c r="Y21">
        <v>6630</v>
      </c>
      <c r="Z21" s="3">
        <v>875</v>
      </c>
      <c r="AA21" s="3">
        <v>15</v>
      </c>
      <c r="AB21">
        <v>20980</v>
      </c>
      <c r="AC21" s="3">
        <v>15</v>
      </c>
      <c r="AD21" s="3">
        <v>25</v>
      </c>
      <c r="AE21" s="3">
        <v>5</v>
      </c>
      <c r="AH21" s="3">
        <v>10</v>
      </c>
      <c r="AI21" s="3">
        <v>10</v>
      </c>
      <c r="AJ21" s="3">
        <v>10</v>
      </c>
      <c r="AK21" s="3">
        <v>10</v>
      </c>
      <c r="AL21" s="3">
        <v>25</v>
      </c>
      <c r="AM21" s="3">
        <v>35</v>
      </c>
      <c r="AN21" s="3">
        <v>45</v>
      </c>
      <c r="AO21" s="3">
        <v>75</v>
      </c>
      <c r="AP21" s="3">
        <v>125</v>
      </c>
      <c r="AQ21" s="3">
        <v>170</v>
      </c>
      <c r="AR21" s="3">
        <v>370</v>
      </c>
      <c r="AS21" s="3">
        <v>915</v>
      </c>
      <c r="AT21">
        <v>2815</v>
      </c>
      <c r="AU21">
        <v>4910</v>
      </c>
      <c r="AV21">
        <v>6360</v>
      </c>
      <c r="AW21">
        <v>4690</v>
      </c>
      <c r="AX21" s="3">
        <v>250</v>
      </c>
      <c r="AY21" s="3">
        <v>100</v>
      </c>
      <c r="AZ21">
        <v>7060</v>
      </c>
      <c r="BA21" s="3">
        <v>5</v>
      </c>
      <c r="BF21" s="3">
        <v>5</v>
      </c>
      <c r="BG21" s="3">
        <v>5</v>
      </c>
      <c r="BH21" s="3">
        <v>5</v>
      </c>
      <c r="BI21" s="3">
        <v>5</v>
      </c>
      <c r="BJ21" s="3">
        <v>5</v>
      </c>
      <c r="BK21" s="3">
        <v>10</v>
      </c>
      <c r="BL21" s="3">
        <v>20</v>
      </c>
      <c r="BM21" s="3">
        <v>30</v>
      </c>
      <c r="BN21" s="3">
        <v>45</v>
      </c>
      <c r="BO21" s="3">
        <v>60</v>
      </c>
      <c r="BP21" s="3">
        <v>135</v>
      </c>
      <c r="BQ21" s="3">
        <v>330</v>
      </c>
      <c r="BR21">
        <v>1175</v>
      </c>
      <c r="BS21">
        <v>1580</v>
      </c>
      <c r="BT21">
        <v>1955</v>
      </c>
      <c r="BU21">
        <v>1560</v>
      </c>
      <c r="BV21" s="3">
        <v>80</v>
      </c>
      <c r="BW21" s="3">
        <v>35</v>
      </c>
      <c r="BX21">
        <v>2430</v>
      </c>
      <c r="CC21" s="3">
        <v>5</v>
      </c>
      <c r="CF21" s="3">
        <v>5</v>
      </c>
      <c r="CH21" s="3">
        <v>10</v>
      </c>
      <c r="CI21" s="3">
        <v>5</v>
      </c>
      <c r="CJ21" s="3">
        <v>5</v>
      </c>
      <c r="CK21" s="3">
        <v>15</v>
      </c>
      <c r="CL21" s="3">
        <v>25</v>
      </c>
      <c r="CM21" s="3">
        <v>25</v>
      </c>
      <c r="CN21" s="3">
        <v>65</v>
      </c>
      <c r="CO21" s="3">
        <v>155</v>
      </c>
      <c r="CP21" s="3">
        <v>440</v>
      </c>
      <c r="CQ21" s="3">
        <v>500</v>
      </c>
      <c r="CR21" s="3">
        <v>645</v>
      </c>
      <c r="CS21" s="3">
        <v>465</v>
      </c>
      <c r="CT21" s="3">
        <v>30</v>
      </c>
      <c r="CU21" s="3">
        <v>20</v>
      </c>
      <c r="CV21" s="3">
        <v>515</v>
      </c>
      <c r="DN21" s="3">
        <v>5</v>
      </c>
      <c r="DO21" s="3">
        <v>5</v>
      </c>
      <c r="DP21" s="3">
        <v>10</v>
      </c>
      <c r="DS21" s="3">
        <v>485</v>
      </c>
    </row>
    <row r="22" spans="1:123" x14ac:dyDescent="0.25">
      <c r="A22" s="4">
        <v>2016</v>
      </c>
      <c r="B22" s="4"/>
      <c r="C22">
        <v>61700</v>
      </c>
      <c r="D22">
        <v>29590</v>
      </c>
      <c r="E22" s="3">
        <v>10</v>
      </c>
      <c r="F22" s="3">
        <v>40</v>
      </c>
      <c r="G22" s="3">
        <v>20</v>
      </c>
      <c r="H22" s="3">
        <v>20</v>
      </c>
      <c r="I22" s="3">
        <v>20</v>
      </c>
      <c r="J22" s="3">
        <v>15</v>
      </c>
      <c r="K22" s="3">
        <v>30</v>
      </c>
      <c r="L22" s="3">
        <v>40</v>
      </c>
      <c r="M22" s="3">
        <v>45</v>
      </c>
      <c r="N22" s="3">
        <v>60</v>
      </c>
      <c r="O22" s="3">
        <v>65</v>
      </c>
      <c r="P22" s="3">
        <v>110</v>
      </c>
      <c r="Q22" s="3">
        <v>165</v>
      </c>
      <c r="R22" s="3">
        <v>290</v>
      </c>
      <c r="S22" s="3">
        <v>415</v>
      </c>
      <c r="T22" s="3">
        <v>670</v>
      </c>
      <c r="U22">
        <v>1450</v>
      </c>
      <c r="V22">
        <v>3430</v>
      </c>
      <c r="W22">
        <v>6065</v>
      </c>
      <c r="X22">
        <v>8310</v>
      </c>
      <c r="Y22">
        <v>7315</v>
      </c>
      <c r="Z22" s="3">
        <v>985</v>
      </c>
      <c r="AA22" s="3">
        <v>15</v>
      </c>
      <c r="AB22">
        <v>21345</v>
      </c>
      <c r="AC22" s="3">
        <v>10</v>
      </c>
      <c r="AD22" s="3">
        <v>20</v>
      </c>
      <c r="AE22" s="3">
        <v>5</v>
      </c>
      <c r="AF22" s="3">
        <v>10</v>
      </c>
      <c r="AG22" s="3">
        <v>10</v>
      </c>
      <c r="AH22" s="3">
        <v>15</v>
      </c>
      <c r="AI22" s="3">
        <v>10</v>
      </c>
      <c r="AJ22" s="3">
        <v>20</v>
      </c>
      <c r="AK22" s="3">
        <v>20</v>
      </c>
      <c r="AL22" s="3">
        <v>35</v>
      </c>
      <c r="AM22" s="3">
        <v>30</v>
      </c>
      <c r="AN22" s="3">
        <v>50</v>
      </c>
      <c r="AO22" s="3">
        <v>65</v>
      </c>
      <c r="AP22" s="3">
        <v>135</v>
      </c>
      <c r="AQ22" s="3">
        <v>195</v>
      </c>
      <c r="AR22" s="3">
        <v>375</v>
      </c>
      <c r="AS22" s="3">
        <v>965</v>
      </c>
      <c r="AT22">
        <v>2805</v>
      </c>
      <c r="AU22">
        <v>4900</v>
      </c>
      <c r="AV22">
        <v>6455</v>
      </c>
      <c r="AW22">
        <v>4800</v>
      </c>
      <c r="AX22" s="3">
        <v>275</v>
      </c>
      <c r="AY22" s="3">
        <v>135</v>
      </c>
      <c r="AZ22">
        <v>7620</v>
      </c>
      <c r="BB22" s="3">
        <v>5</v>
      </c>
      <c r="BJ22" s="3">
        <v>10</v>
      </c>
      <c r="BK22" s="3">
        <v>15</v>
      </c>
      <c r="BL22" s="3">
        <v>15</v>
      </c>
      <c r="BM22" s="3">
        <v>30</v>
      </c>
      <c r="BN22" s="3">
        <v>40</v>
      </c>
      <c r="BO22" s="3">
        <v>60</v>
      </c>
      <c r="BP22" s="3">
        <v>145</v>
      </c>
      <c r="BQ22" s="3">
        <v>390</v>
      </c>
      <c r="BR22">
        <v>1140</v>
      </c>
      <c r="BS22">
        <v>1770</v>
      </c>
      <c r="BT22">
        <v>2105</v>
      </c>
      <c r="BU22">
        <v>1735</v>
      </c>
      <c r="BV22" s="3">
        <v>100</v>
      </c>
      <c r="BW22" s="3">
        <v>35</v>
      </c>
      <c r="BX22">
        <v>2465</v>
      </c>
      <c r="CF22" s="3">
        <v>5</v>
      </c>
      <c r="CI22" s="3">
        <v>10</v>
      </c>
      <c r="CK22" s="3">
        <v>10</v>
      </c>
      <c r="CL22" s="3">
        <v>20</v>
      </c>
      <c r="CM22" s="3">
        <v>30</v>
      </c>
      <c r="CN22" s="3">
        <v>60</v>
      </c>
      <c r="CO22" s="3">
        <v>170</v>
      </c>
      <c r="CP22" s="3">
        <v>420</v>
      </c>
      <c r="CQ22" s="3">
        <v>545</v>
      </c>
      <c r="CR22" s="3">
        <v>635</v>
      </c>
      <c r="CS22" s="3">
        <v>480</v>
      </c>
      <c r="CT22" s="3">
        <v>35</v>
      </c>
      <c r="CU22" s="3">
        <v>10</v>
      </c>
      <c r="CV22" s="3">
        <v>690</v>
      </c>
      <c r="DN22" s="3">
        <v>5</v>
      </c>
      <c r="DO22" s="3">
        <v>10</v>
      </c>
      <c r="DP22" s="3">
        <v>5</v>
      </c>
      <c r="DQ22" s="3">
        <v>5</v>
      </c>
      <c r="DS22" s="3">
        <v>650</v>
      </c>
    </row>
    <row r="23" spans="1:123" x14ac:dyDescent="0.25">
      <c r="A23" s="4">
        <v>2017</v>
      </c>
      <c r="B23" s="4"/>
      <c r="C23">
        <v>61250</v>
      </c>
      <c r="D23">
        <v>29610</v>
      </c>
      <c r="E23" s="3">
        <v>15</v>
      </c>
      <c r="F23" s="3">
        <v>40</v>
      </c>
      <c r="G23" s="3">
        <v>15</v>
      </c>
      <c r="H23" s="3">
        <v>20</v>
      </c>
      <c r="I23" s="3">
        <v>25</v>
      </c>
      <c r="J23" s="3">
        <v>25</v>
      </c>
      <c r="K23" s="3">
        <v>30</v>
      </c>
      <c r="L23" s="3">
        <v>55</v>
      </c>
      <c r="M23" s="3">
        <v>45</v>
      </c>
      <c r="N23" s="3">
        <v>65</v>
      </c>
      <c r="O23" s="3">
        <v>70</v>
      </c>
      <c r="P23" s="3">
        <v>105</v>
      </c>
      <c r="Q23" s="3">
        <v>155</v>
      </c>
      <c r="R23" s="3">
        <v>295</v>
      </c>
      <c r="S23" s="3">
        <v>415</v>
      </c>
      <c r="T23" s="3">
        <v>720</v>
      </c>
      <c r="U23">
        <v>1490</v>
      </c>
      <c r="V23">
        <v>3600</v>
      </c>
      <c r="W23">
        <v>5915</v>
      </c>
      <c r="X23">
        <v>8270</v>
      </c>
      <c r="Y23">
        <v>7255</v>
      </c>
      <c r="Z23" s="3">
        <v>965</v>
      </c>
      <c r="AA23" s="3">
        <v>15</v>
      </c>
      <c r="AB23">
        <v>21365</v>
      </c>
      <c r="AC23" s="3">
        <v>10</v>
      </c>
      <c r="AD23" s="3">
        <v>25</v>
      </c>
      <c r="AE23" s="3">
        <v>5</v>
      </c>
      <c r="AF23" s="3">
        <v>10</v>
      </c>
      <c r="AG23" s="3">
        <v>10</v>
      </c>
      <c r="AH23" s="3">
        <v>10</v>
      </c>
      <c r="AI23" s="3">
        <v>15</v>
      </c>
      <c r="AJ23" s="3">
        <v>15</v>
      </c>
      <c r="AK23" s="3">
        <v>10</v>
      </c>
      <c r="AL23" s="3">
        <v>25</v>
      </c>
      <c r="AM23" s="3">
        <v>25</v>
      </c>
      <c r="AN23" s="3">
        <v>45</v>
      </c>
      <c r="AO23" s="3">
        <v>55</v>
      </c>
      <c r="AP23" s="3">
        <v>125</v>
      </c>
      <c r="AQ23" s="3">
        <v>190</v>
      </c>
      <c r="AR23" s="3">
        <v>350</v>
      </c>
      <c r="AS23" s="3">
        <v>945</v>
      </c>
      <c r="AT23">
        <v>2715</v>
      </c>
      <c r="AU23">
        <v>4835</v>
      </c>
      <c r="AV23">
        <v>6590</v>
      </c>
      <c r="AW23">
        <v>4930</v>
      </c>
      <c r="AX23" s="3">
        <v>295</v>
      </c>
      <c r="AY23" s="3">
        <v>135</v>
      </c>
      <c r="AZ23">
        <v>7390</v>
      </c>
      <c r="BB23" s="3">
        <v>10</v>
      </c>
      <c r="BD23" s="3">
        <v>5</v>
      </c>
      <c r="BI23" s="3">
        <v>10</v>
      </c>
      <c r="BJ23" s="3">
        <v>10</v>
      </c>
      <c r="BK23" s="3">
        <v>15</v>
      </c>
      <c r="BL23" s="3">
        <v>15</v>
      </c>
      <c r="BM23" s="3">
        <v>25</v>
      </c>
      <c r="BN23" s="3">
        <v>45</v>
      </c>
      <c r="BO23" s="3">
        <v>70</v>
      </c>
      <c r="BP23" s="3">
        <v>120</v>
      </c>
      <c r="BQ23" s="3">
        <v>330</v>
      </c>
      <c r="BR23">
        <v>1160</v>
      </c>
      <c r="BS23">
        <v>1680</v>
      </c>
      <c r="BT23">
        <v>2100</v>
      </c>
      <c r="BU23">
        <v>1655</v>
      </c>
      <c r="BV23" s="3">
        <v>85</v>
      </c>
      <c r="BW23" s="3">
        <v>35</v>
      </c>
      <c r="BX23">
        <v>2380</v>
      </c>
      <c r="CA23" s="3">
        <v>5</v>
      </c>
      <c r="CD23" s="3">
        <v>5</v>
      </c>
      <c r="CH23" s="3">
        <v>5</v>
      </c>
      <c r="CK23" s="3">
        <v>10</v>
      </c>
      <c r="CL23" s="3">
        <v>15</v>
      </c>
      <c r="CM23" s="3">
        <v>25</v>
      </c>
      <c r="CN23" s="3">
        <v>60</v>
      </c>
      <c r="CO23" s="3">
        <v>185</v>
      </c>
      <c r="CP23" s="3">
        <v>390</v>
      </c>
      <c r="CQ23" s="3">
        <v>535</v>
      </c>
      <c r="CR23" s="3">
        <v>600</v>
      </c>
      <c r="CS23" s="3">
        <v>485</v>
      </c>
      <c r="CT23" s="3">
        <v>25</v>
      </c>
      <c r="CU23" s="3">
        <v>10</v>
      </c>
      <c r="CV23" s="3">
        <v>505</v>
      </c>
      <c r="DN23" s="3">
        <v>5</v>
      </c>
      <c r="DO23" s="3">
        <v>5</v>
      </c>
      <c r="DP23" s="3">
        <v>10</v>
      </c>
      <c r="DQ23" s="3">
        <v>5</v>
      </c>
      <c r="DS23" s="3">
        <v>465</v>
      </c>
    </row>
    <row r="24" spans="1:123" x14ac:dyDescent="0.25">
      <c r="A24" s="4">
        <v>2018</v>
      </c>
      <c r="B24" s="4"/>
      <c r="C24">
        <v>61280</v>
      </c>
      <c r="D24">
        <v>29415</v>
      </c>
      <c r="E24" s="3">
        <v>15</v>
      </c>
      <c r="F24" s="3">
        <v>45</v>
      </c>
      <c r="G24" s="3">
        <v>15</v>
      </c>
      <c r="H24" s="3">
        <v>15</v>
      </c>
      <c r="I24" s="3">
        <v>20</v>
      </c>
      <c r="J24" s="3">
        <v>25</v>
      </c>
      <c r="K24" s="3">
        <v>40</v>
      </c>
      <c r="L24" s="3">
        <v>45</v>
      </c>
      <c r="M24" s="3">
        <v>40</v>
      </c>
      <c r="N24" s="3">
        <v>55</v>
      </c>
      <c r="O24" s="3">
        <v>80</v>
      </c>
      <c r="P24" s="3">
        <v>115</v>
      </c>
      <c r="Q24" s="3">
        <v>155</v>
      </c>
      <c r="R24" s="3">
        <v>295</v>
      </c>
      <c r="S24" s="3">
        <v>390</v>
      </c>
      <c r="T24" s="3">
        <v>725</v>
      </c>
      <c r="U24">
        <v>1450</v>
      </c>
      <c r="V24">
        <v>3380</v>
      </c>
      <c r="W24">
        <v>6050</v>
      </c>
      <c r="X24">
        <v>8225</v>
      </c>
      <c r="Y24">
        <v>7255</v>
      </c>
      <c r="Z24" s="3">
        <v>960</v>
      </c>
      <c r="AA24" s="3">
        <v>15</v>
      </c>
      <c r="AB24">
        <v>21825</v>
      </c>
      <c r="AC24" s="3">
        <v>5</v>
      </c>
      <c r="AD24" s="3">
        <v>25</v>
      </c>
      <c r="AE24" s="3">
        <v>5</v>
      </c>
      <c r="AF24" s="3">
        <v>5</v>
      </c>
      <c r="AG24" s="3">
        <v>5</v>
      </c>
      <c r="AH24" s="3">
        <v>10</v>
      </c>
      <c r="AI24" s="3">
        <v>10</v>
      </c>
      <c r="AJ24" s="3">
        <v>15</v>
      </c>
      <c r="AK24" s="3">
        <v>15</v>
      </c>
      <c r="AL24" s="3">
        <v>30</v>
      </c>
      <c r="AM24" s="3">
        <v>35</v>
      </c>
      <c r="AN24" s="3">
        <v>30</v>
      </c>
      <c r="AO24" s="3">
        <v>65</v>
      </c>
      <c r="AP24" s="3">
        <v>120</v>
      </c>
      <c r="AQ24" s="3">
        <v>175</v>
      </c>
      <c r="AR24" s="3">
        <v>330</v>
      </c>
      <c r="AS24" s="3">
        <v>965</v>
      </c>
      <c r="AT24">
        <v>2775</v>
      </c>
      <c r="AU24">
        <v>5000</v>
      </c>
      <c r="AV24">
        <v>6795</v>
      </c>
      <c r="AW24">
        <v>5035</v>
      </c>
      <c r="AX24" s="3">
        <v>285</v>
      </c>
      <c r="AY24" s="3">
        <v>95</v>
      </c>
      <c r="AZ24">
        <v>7370</v>
      </c>
      <c r="BB24" s="3">
        <v>10</v>
      </c>
      <c r="BD24" s="3">
        <v>5</v>
      </c>
      <c r="BF24" s="3">
        <v>5</v>
      </c>
      <c r="BI24" s="3">
        <v>5</v>
      </c>
      <c r="BJ24" s="3">
        <v>5</v>
      </c>
      <c r="BK24" s="3">
        <v>5</v>
      </c>
      <c r="BL24" s="3">
        <v>15</v>
      </c>
      <c r="BM24" s="3">
        <v>25</v>
      </c>
      <c r="BN24" s="3">
        <v>50</v>
      </c>
      <c r="BO24" s="3">
        <v>65</v>
      </c>
      <c r="BP24" s="3">
        <v>135</v>
      </c>
      <c r="BQ24" s="3">
        <v>375</v>
      </c>
      <c r="BR24">
        <v>1125</v>
      </c>
      <c r="BS24">
        <v>1715</v>
      </c>
      <c r="BT24">
        <v>2040</v>
      </c>
      <c r="BU24">
        <v>1640</v>
      </c>
      <c r="BV24" s="3">
        <v>100</v>
      </c>
      <c r="BW24" s="3">
        <v>35</v>
      </c>
      <c r="BX24">
        <v>2315</v>
      </c>
      <c r="CG24" s="3">
        <v>5</v>
      </c>
      <c r="CI24" s="3">
        <v>5</v>
      </c>
      <c r="CJ24" s="3">
        <v>5</v>
      </c>
      <c r="CK24" s="3">
        <v>10</v>
      </c>
      <c r="CL24" s="3">
        <v>25</v>
      </c>
      <c r="CM24" s="3">
        <v>30</v>
      </c>
      <c r="CN24" s="3">
        <v>55</v>
      </c>
      <c r="CO24" s="3">
        <v>175</v>
      </c>
      <c r="CP24" s="3">
        <v>440</v>
      </c>
      <c r="CQ24" s="3">
        <v>510</v>
      </c>
      <c r="CR24" s="3">
        <v>565</v>
      </c>
      <c r="CS24" s="3">
        <v>420</v>
      </c>
      <c r="CT24" s="3">
        <v>30</v>
      </c>
      <c r="CU24" s="3">
        <v>10</v>
      </c>
      <c r="CV24" s="3">
        <v>355</v>
      </c>
      <c r="DM24" s="3">
        <v>5</v>
      </c>
      <c r="DO24" s="3">
        <v>10</v>
      </c>
      <c r="DQ24" s="3">
        <v>5</v>
      </c>
      <c r="DS24" s="3">
        <v>325</v>
      </c>
    </row>
    <row r="25" spans="1:123" x14ac:dyDescent="0.25">
      <c r="A25" s="4">
        <v>2019</v>
      </c>
      <c r="B25" s="4"/>
      <c r="C25">
        <v>60905</v>
      </c>
      <c r="D25">
        <v>27885</v>
      </c>
      <c r="E25" s="3">
        <v>20</v>
      </c>
      <c r="F25" s="3">
        <v>30</v>
      </c>
      <c r="G25" s="3">
        <v>15</v>
      </c>
      <c r="H25" s="3">
        <v>20</v>
      </c>
      <c r="I25" s="3">
        <v>25</v>
      </c>
      <c r="J25" s="3">
        <v>30</v>
      </c>
      <c r="K25" s="3">
        <v>35</v>
      </c>
      <c r="L25" s="3">
        <v>40</v>
      </c>
      <c r="M25" s="3">
        <v>45</v>
      </c>
      <c r="N25" s="3">
        <v>50</v>
      </c>
      <c r="O25" s="3">
        <v>65</v>
      </c>
      <c r="P25" s="3">
        <v>95</v>
      </c>
      <c r="Q25" s="3">
        <v>145</v>
      </c>
      <c r="R25" s="3">
        <v>260</v>
      </c>
      <c r="S25" s="3">
        <v>375</v>
      </c>
      <c r="T25" s="3">
        <v>665</v>
      </c>
      <c r="U25">
        <v>1375</v>
      </c>
      <c r="V25">
        <v>3195</v>
      </c>
      <c r="W25">
        <v>5670</v>
      </c>
      <c r="X25">
        <v>7720</v>
      </c>
      <c r="Y25">
        <v>7000</v>
      </c>
      <c r="Z25">
        <v>1010</v>
      </c>
      <c r="AA25" s="3">
        <v>5</v>
      </c>
      <c r="AB25">
        <v>23210</v>
      </c>
      <c r="AC25" s="3">
        <v>15</v>
      </c>
      <c r="AD25" s="3">
        <v>25</v>
      </c>
      <c r="AF25" s="3">
        <v>5</v>
      </c>
      <c r="AG25" s="3">
        <v>10</v>
      </c>
      <c r="AH25" s="3">
        <v>10</v>
      </c>
      <c r="AI25" s="3">
        <v>15</v>
      </c>
      <c r="AJ25" s="3">
        <v>20</v>
      </c>
      <c r="AK25" s="3">
        <v>20</v>
      </c>
      <c r="AL25" s="3">
        <v>20</v>
      </c>
      <c r="AM25" s="3">
        <v>35</v>
      </c>
      <c r="AN25" s="3">
        <v>35</v>
      </c>
      <c r="AO25" s="3">
        <v>80</v>
      </c>
      <c r="AP25" s="3">
        <v>120</v>
      </c>
      <c r="AQ25" s="3">
        <v>200</v>
      </c>
      <c r="AR25" s="3">
        <v>385</v>
      </c>
      <c r="AS25">
        <v>1030</v>
      </c>
      <c r="AT25">
        <v>3055</v>
      </c>
      <c r="AU25">
        <v>5225</v>
      </c>
      <c r="AV25">
        <v>7140</v>
      </c>
      <c r="AW25">
        <v>5460</v>
      </c>
      <c r="AX25" s="3">
        <v>300</v>
      </c>
      <c r="AY25" s="3">
        <v>5</v>
      </c>
      <c r="AZ25">
        <v>7445</v>
      </c>
      <c r="BA25" s="3">
        <v>5</v>
      </c>
      <c r="BB25" s="3">
        <v>10</v>
      </c>
      <c r="BH25" s="3">
        <v>5</v>
      </c>
      <c r="BI25" s="3">
        <v>5</v>
      </c>
      <c r="BJ25" s="3">
        <v>5</v>
      </c>
      <c r="BK25" s="3">
        <v>15</v>
      </c>
      <c r="BL25" s="3">
        <v>15</v>
      </c>
      <c r="BM25" s="3">
        <v>20</v>
      </c>
      <c r="BN25" s="3">
        <v>35</v>
      </c>
      <c r="BO25" s="3">
        <v>75</v>
      </c>
      <c r="BP25" s="3">
        <v>130</v>
      </c>
      <c r="BQ25" s="3">
        <v>390</v>
      </c>
      <c r="BR25">
        <v>1160</v>
      </c>
      <c r="BS25">
        <v>1710</v>
      </c>
      <c r="BT25">
        <v>2105</v>
      </c>
      <c r="BU25">
        <v>1650</v>
      </c>
      <c r="BV25" s="3">
        <v>95</v>
      </c>
      <c r="BX25">
        <v>2220</v>
      </c>
      <c r="CI25" s="3">
        <v>5</v>
      </c>
      <c r="CJ25" s="3">
        <v>5</v>
      </c>
      <c r="CK25" s="3">
        <v>10</v>
      </c>
      <c r="CL25" s="3">
        <v>30</v>
      </c>
      <c r="CM25" s="3">
        <v>35</v>
      </c>
      <c r="CN25" s="3">
        <v>60</v>
      </c>
      <c r="CO25" s="3">
        <v>160</v>
      </c>
      <c r="CP25" s="3">
        <v>395</v>
      </c>
      <c r="CQ25" s="3">
        <v>480</v>
      </c>
      <c r="CR25" s="3">
        <v>600</v>
      </c>
      <c r="CS25" s="3">
        <v>390</v>
      </c>
      <c r="CT25" s="3">
        <v>25</v>
      </c>
      <c r="CV25" s="3">
        <v>145</v>
      </c>
      <c r="CX25" s="3">
        <v>15</v>
      </c>
      <c r="DM25" s="3">
        <v>10</v>
      </c>
      <c r="DN25" s="3">
        <v>10</v>
      </c>
      <c r="DO25" s="3">
        <v>25</v>
      </c>
      <c r="DP25" s="3">
        <v>35</v>
      </c>
      <c r="DQ25" s="3">
        <v>15</v>
      </c>
    </row>
    <row r="26" spans="1:123" x14ac:dyDescent="0.25">
      <c r="A26" s="4">
        <v>2020</v>
      </c>
      <c r="B26" s="4"/>
      <c r="C26">
        <v>60630</v>
      </c>
      <c r="D26">
        <v>27615</v>
      </c>
      <c r="E26" s="3">
        <v>20</v>
      </c>
      <c r="F26" s="3">
        <v>30</v>
      </c>
      <c r="G26" s="3">
        <v>20</v>
      </c>
      <c r="H26" s="3">
        <v>15</v>
      </c>
      <c r="I26" s="3">
        <v>20</v>
      </c>
      <c r="J26" s="3">
        <v>15</v>
      </c>
      <c r="K26" s="3">
        <v>35</v>
      </c>
      <c r="L26" s="3">
        <v>25</v>
      </c>
      <c r="M26" s="3">
        <v>30</v>
      </c>
      <c r="N26" s="3">
        <v>65</v>
      </c>
      <c r="O26" s="3">
        <v>75</v>
      </c>
      <c r="P26" s="3">
        <v>105</v>
      </c>
      <c r="Q26" s="3">
        <v>140</v>
      </c>
      <c r="R26" s="3">
        <v>270</v>
      </c>
      <c r="S26" s="3">
        <v>360</v>
      </c>
      <c r="T26" s="3">
        <v>680</v>
      </c>
      <c r="U26">
        <v>1410</v>
      </c>
      <c r="V26">
        <v>3090</v>
      </c>
      <c r="W26">
        <v>5575</v>
      </c>
      <c r="X26">
        <v>7750</v>
      </c>
      <c r="Y26">
        <v>6930</v>
      </c>
      <c r="Z26" s="3">
        <v>955</v>
      </c>
      <c r="AA26" s="3">
        <v>5</v>
      </c>
      <c r="AB26">
        <v>23540</v>
      </c>
      <c r="AC26" s="3">
        <v>20</v>
      </c>
      <c r="AD26" s="3">
        <v>30</v>
      </c>
      <c r="AE26" s="3">
        <v>5</v>
      </c>
      <c r="AF26" s="3">
        <v>5</v>
      </c>
      <c r="AG26" s="3">
        <v>10</v>
      </c>
      <c r="AH26" s="3">
        <v>5</v>
      </c>
      <c r="AI26" s="3">
        <v>5</v>
      </c>
      <c r="AJ26" s="3">
        <v>20</v>
      </c>
      <c r="AK26" s="3">
        <v>20</v>
      </c>
      <c r="AL26" s="3">
        <v>30</v>
      </c>
      <c r="AM26" s="3">
        <v>25</v>
      </c>
      <c r="AN26" s="3">
        <v>45</v>
      </c>
      <c r="AO26" s="3">
        <v>70</v>
      </c>
      <c r="AP26" s="3">
        <v>135</v>
      </c>
      <c r="AQ26" s="3">
        <v>165</v>
      </c>
      <c r="AR26" s="3">
        <v>400</v>
      </c>
      <c r="AS26">
        <v>1085</v>
      </c>
      <c r="AT26">
        <v>3000</v>
      </c>
      <c r="AU26">
        <v>5405</v>
      </c>
      <c r="AV26">
        <v>7170</v>
      </c>
      <c r="AW26">
        <v>5605</v>
      </c>
      <c r="AX26" s="3">
        <v>280</v>
      </c>
      <c r="AZ26">
        <v>7220</v>
      </c>
      <c r="BA26" s="3">
        <v>5</v>
      </c>
      <c r="BB26" s="3">
        <v>10</v>
      </c>
      <c r="BJ26" s="3">
        <v>5</v>
      </c>
      <c r="BK26" s="3">
        <v>15</v>
      </c>
      <c r="BL26" s="3">
        <v>15</v>
      </c>
      <c r="BM26" s="3">
        <v>25</v>
      </c>
      <c r="BN26" s="3">
        <v>50</v>
      </c>
      <c r="BO26" s="3">
        <v>65</v>
      </c>
      <c r="BP26" s="3">
        <v>115</v>
      </c>
      <c r="BQ26" s="3">
        <v>395</v>
      </c>
      <c r="BR26">
        <v>1050</v>
      </c>
      <c r="BS26">
        <v>1630</v>
      </c>
      <c r="BT26">
        <v>2090</v>
      </c>
      <c r="BU26">
        <v>1650</v>
      </c>
      <c r="BV26" s="3">
        <v>75</v>
      </c>
      <c r="BX26">
        <v>2150</v>
      </c>
      <c r="CF26" s="3">
        <v>5</v>
      </c>
      <c r="CI26" s="3">
        <v>10</v>
      </c>
      <c r="CJ26" s="3">
        <v>10</v>
      </c>
      <c r="CK26" s="3">
        <v>10</v>
      </c>
      <c r="CL26" s="3">
        <v>25</v>
      </c>
      <c r="CM26" s="3">
        <v>25</v>
      </c>
      <c r="CN26" s="3">
        <v>65</v>
      </c>
      <c r="CO26" s="3">
        <v>130</v>
      </c>
      <c r="CP26" s="3">
        <v>385</v>
      </c>
      <c r="CQ26" s="3">
        <v>465</v>
      </c>
      <c r="CR26" s="3">
        <v>560</v>
      </c>
      <c r="CS26" s="3">
        <v>420</v>
      </c>
      <c r="CT26" s="3">
        <v>15</v>
      </c>
      <c r="CV26" s="3">
        <v>100</v>
      </c>
      <c r="CX26" s="3">
        <v>15</v>
      </c>
      <c r="DI26" s="3">
        <v>5</v>
      </c>
      <c r="DN26" s="3">
        <v>10</v>
      </c>
      <c r="DO26" s="3">
        <v>15</v>
      </c>
      <c r="DP26" s="3">
        <v>20</v>
      </c>
      <c r="DQ26" s="3">
        <v>15</v>
      </c>
    </row>
    <row r="27" spans="1:123" x14ac:dyDescent="0.25">
      <c r="A27" s="4">
        <v>2021</v>
      </c>
      <c r="B27" s="4"/>
      <c r="C27">
        <v>62950</v>
      </c>
      <c r="D27">
        <v>27870</v>
      </c>
      <c r="E27" s="3">
        <v>25</v>
      </c>
      <c r="F27" s="3">
        <v>30</v>
      </c>
      <c r="G27" s="3">
        <v>15</v>
      </c>
      <c r="H27" s="3">
        <v>20</v>
      </c>
      <c r="I27" s="3">
        <v>20</v>
      </c>
      <c r="J27" s="3">
        <v>25</v>
      </c>
      <c r="K27" s="3">
        <v>30</v>
      </c>
      <c r="L27" s="3">
        <v>25</v>
      </c>
      <c r="M27" s="3">
        <v>45</v>
      </c>
      <c r="N27" s="3">
        <v>65</v>
      </c>
      <c r="O27" s="3">
        <v>60</v>
      </c>
      <c r="P27" s="3">
        <v>105</v>
      </c>
      <c r="Q27" s="3">
        <v>150</v>
      </c>
      <c r="R27" s="3">
        <v>250</v>
      </c>
      <c r="S27" s="3">
        <v>380</v>
      </c>
      <c r="T27" s="3">
        <v>690</v>
      </c>
      <c r="U27">
        <v>1480</v>
      </c>
      <c r="V27">
        <v>3105</v>
      </c>
      <c r="W27">
        <v>5685</v>
      </c>
      <c r="X27">
        <v>7895</v>
      </c>
      <c r="Y27">
        <v>6855</v>
      </c>
      <c r="Z27" s="3">
        <v>905</v>
      </c>
      <c r="AB27">
        <v>24815</v>
      </c>
      <c r="AC27" s="3">
        <v>15</v>
      </c>
      <c r="AD27" s="3">
        <v>20</v>
      </c>
      <c r="AE27" s="3">
        <v>10</v>
      </c>
      <c r="AF27" s="3">
        <v>10</v>
      </c>
      <c r="AG27" s="3">
        <v>15</v>
      </c>
      <c r="AH27" s="3">
        <v>10</v>
      </c>
      <c r="AI27" s="3">
        <v>15</v>
      </c>
      <c r="AJ27" s="3">
        <v>10</v>
      </c>
      <c r="AK27" s="3">
        <v>20</v>
      </c>
      <c r="AL27" s="3">
        <v>20</v>
      </c>
      <c r="AM27" s="3">
        <v>30</v>
      </c>
      <c r="AN27" s="3">
        <v>50</v>
      </c>
      <c r="AO27" s="3">
        <v>80</v>
      </c>
      <c r="AP27" s="3">
        <v>165</v>
      </c>
      <c r="AQ27" s="3">
        <v>220</v>
      </c>
      <c r="AR27" s="3">
        <v>450</v>
      </c>
      <c r="AS27">
        <v>1285</v>
      </c>
      <c r="AT27">
        <v>3220</v>
      </c>
      <c r="AU27">
        <v>5905</v>
      </c>
      <c r="AV27">
        <v>7565</v>
      </c>
      <c r="AW27">
        <v>5415</v>
      </c>
      <c r="AX27" s="3">
        <v>290</v>
      </c>
      <c r="AZ27">
        <v>7980</v>
      </c>
      <c r="BA27" s="3">
        <v>10</v>
      </c>
      <c r="BB27" s="3">
        <v>10</v>
      </c>
      <c r="BG27" s="3">
        <v>5</v>
      </c>
      <c r="BH27" s="3">
        <v>15</v>
      </c>
      <c r="BI27" s="3">
        <v>5</v>
      </c>
      <c r="BJ27" s="3">
        <v>10</v>
      </c>
      <c r="BK27" s="3">
        <v>10</v>
      </c>
      <c r="BL27" s="3">
        <v>15</v>
      </c>
      <c r="BM27" s="3">
        <v>25</v>
      </c>
      <c r="BN27" s="3">
        <v>50</v>
      </c>
      <c r="BO27" s="3">
        <v>75</v>
      </c>
      <c r="BP27" s="3">
        <v>140</v>
      </c>
      <c r="BQ27" s="3">
        <v>415</v>
      </c>
      <c r="BR27">
        <v>1200</v>
      </c>
      <c r="BS27">
        <v>1835</v>
      </c>
      <c r="BT27">
        <v>2260</v>
      </c>
      <c r="BU27">
        <v>1785</v>
      </c>
      <c r="BV27" s="3">
        <v>105</v>
      </c>
      <c r="BX27">
        <v>2190</v>
      </c>
      <c r="CI27" s="3">
        <v>5</v>
      </c>
      <c r="CJ27" s="3">
        <v>5</v>
      </c>
      <c r="CK27" s="3">
        <v>10</v>
      </c>
      <c r="CL27" s="3">
        <v>30</v>
      </c>
      <c r="CM27" s="3">
        <v>30</v>
      </c>
      <c r="CN27" s="3">
        <v>60</v>
      </c>
      <c r="CO27" s="3">
        <v>150</v>
      </c>
      <c r="CP27" s="3">
        <v>390</v>
      </c>
      <c r="CQ27" s="3">
        <v>510</v>
      </c>
      <c r="CR27" s="3">
        <v>570</v>
      </c>
      <c r="CS27" s="3">
        <v>375</v>
      </c>
      <c r="CT27" s="3">
        <v>20</v>
      </c>
      <c r="CV27" s="3">
        <v>100</v>
      </c>
      <c r="CX27" s="3">
        <v>10</v>
      </c>
      <c r="CY27" s="3">
        <v>5</v>
      </c>
      <c r="DM27" s="3">
        <v>10</v>
      </c>
      <c r="DN27" s="3">
        <v>10</v>
      </c>
      <c r="DO27" s="3">
        <v>20</v>
      </c>
      <c r="DP27" s="3">
        <v>15</v>
      </c>
      <c r="DQ27" s="3">
        <v>10</v>
      </c>
    </row>
    <row r="28" spans="1:123" x14ac:dyDescent="0.25">
      <c r="A28" s="4">
        <v>2022</v>
      </c>
      <c r="B28" s="4"/>
      <c r="C28">
        <v>58065</v>
      </c>
      <c r="D28">
        <v>26355</v>
      </c>
      <c r="E28" s="3">
        <v>30</v>
      </c>
      <c r="F28" s="3">
        <v>25</v>
      </c>
      <c r="G28" s="3">
        <v>20</v>
      </c>
      <c r="H28" s="3">
        <v>15</v>
      </c>
      <c r="I28" s="3">
        <v>15</v>
      </c>
      <c r="J28" s="3">
        <v>30</v>
      </c>
      <c r="K28" s="3">
        <v>20</v>
      </c>
      <c r="L28" s="3">
        <v>35</v>
      </c>
      <c r="M28" s="3">
        <v>50</v>
      </c>
      <c r="N28" s="3">
        <v>50</v>
      </c>
      <c r="O28" s="3">
        <v>55</v>
      </c>
      <c r="P28" s="3">
        <v>95</v>
      </c>
      <c r="Q28" s="3">
        <v>145</v>
      </c>
      <c r="R28" s="3">
        <v>245</v>
      </c>
      <c r="S28" s="3">
        <v>350</v>
      </c>
      <c r="T28" s="3">
        <v>710</v>
      </c>
      <c r="U28">
        <v>1485</v>
      </c>
      <c r="V28">
        <v>3145</v>
      </c>
      <c r="W28">
        <v>5470</v>
      </c>
      <c r="X28">
        <v>7220</v>
      </c>
      <c r="Y28">
        <v>6370</v>
      </c>
      <c r="Z28" s="3">
        <v>780</v>
      </c>
      <c r="AB28">
        <v>22330</v>
      </c>
      <c r="AC28" s="3">
        <v>15</v>
      </c>
      <c r="AD28" s="3">
        <v>30</v>
      </c>
      <c r="AE28" s="3">
        <v>10</v>
      </c>
      <c r="AF28" s="3">
        <v>10</v>
      </c>
      <c r="AG28" s="3">
        <v>5</v>
      </c>
      <c r="AH28" s="3">
        <v>5</v>
      </c>
      <c r="AI28" s="3">
        <v>5</v>
      </c>
      <c r="AJ28" s="3">
        <v>15</v>
      </c>
      <c r="AK28" s="3">
        <v>15</v>
      </c>
      <c r="AL28" s="3">
        <v>20</v>
      </c>
      <c r="AM28" s="3">
        <v>35</v>
      </c>
      <c r="AN28" s="3">
        <v>50</v>
      </c>
      <c r="AO28" s="3">
        <v>65</v>
      </c>
      <c r="AP28" s="3">
        <v>125</v>
      </c>
      <c r="AQ28" s="3">
        <v>170</v>
      </c>
      <c r="AR28" s="3">
        <v>420</v>
      </c>
      <c r="AS28">
        <v>1120</v>
      </c>
      <c r="AT28">
        <v>3135</v>
      </c>
      <c r="AU28">
        <v>5455</v>
      </c>
      <c r="AV28">
        <v>6655</v>
      </c>
      <c r="AW28">
        <v>4760</v>
      </c>
      <c r="AX28" s="3">
        <v>200</v>
      </c>
      <c r="AZ28">
        <v>7325</v>
      </c>
      <c r="BA28" s="3">
        <v>5</v>
      </c>
      <c r="BB28" s="3">
        <v>10</v>
      </c>
      <c r="BE28" s="3">
        <v>5</v>
      </c>
      <c r="BI28" s="3">
        <v>5</v>
      </c>
      <c r="BJ28" s="3">
        <v>5</v>
      </c>
      <c r="BK28" s="3">
        <v>15</v>
      </c>
      <c r="BL28" s="3">
        <v>20</v>
      </c>
      <c r="BM28" s="3">
        <v>20</v>
      </c>
      <c r="BN28" s="3">
        <v>45</v>
      </c>
      <c r="BO28" s="3">
        <v>65</v>
      </c>
      <c r="BP28" s="3">
        <v>140</v>
      </c>
      <c r="BQ28" s="3">
        <v>450</v>
      </c>
      <c r="BR28">
        <v>1075</v>
      </c>
      <c r="BS28">
        <v>1685</v>
      </c>
      <c r="BT28">
        <v>2140</v>
      </c>
      <c r="BU28">
        <v>1540</v>
      </c>
      <c r="BV28" s="3">
        <v>80</v>
      </c>
      <c r="BX28">
        <v>1985</v>
      </c>
      <c r="CI28" s="3">
        <v>5</v>
      </c>
      <c r="CJ28" s="3">
        <v>5</v>
      </c>
      <c r="CK28" s="3">
        <v>15</v>
      </c>
      <c r="CL28" s="3">
        <v>20</v>
      </c>
      <c r="CM28" s="3">
        <v>30</v>
      </c>
      <c r="CN28" s="3">
        <v>50</v>
      </c>
      <c r="CO28" s="3">
        <v>180</v>
      </c>
      <c r="CP28" s="3">
        <v>390</v>
      </c>
      <c r="CQ28" s="3">
        <v>445</v>
      </c>
      <c r="CR28" s="3">
        <v>465</v>
      </c>
      <c r="CS28" s="3">
        <v>325</v>
      </c>
      <c r="CT28" s="3">
        <v>25</v>
      </c>
      <c r="CV28" s="3">
        <v>75</v>
      </c>
      <c r="CX28" s="3">
        <v>10</v>
      </c>
      <c r="DM28" s="3">
        <v>5</v>
      </c>
      <c r="DN28" s="3">
        <v>10</v>
      </c>
      <c r="DO28" s="3">
        <v>10</v>
      </c>
      <c r="DP28" s="3">
        <v>10</v>
      </c>
    </row>
    <row r="29" spans="1:123" x14ac:dyDescent="0.25">
      <c r="A29" s="4">
        <v>2023</v>
      </c>
      <c r="B29" s="4"/>
      <c r="C29">
        <v>57055</v>
      </c>
      <c r="D29">
        <v>25580</v>
      </c>
      <c r="E29" s="3">
        <v>30</v>
      </c>
      <c r="F29" s="3">
        <v>45</v>
      </c>
      <c r="G29" s="3">
        <v>15</v>
      </c>
      <c r="H29" s="3">
        <v>15</v>
      </c>
      <c r="I29" s="3">
        <v>20</v>
      </c>
      <c r="J29" s="3">
        <v>20</v>
      </c>
      <c r="K29" s="3">
        <v>25</v>
      </c>
      <c r="L29" s="3">
        <v>25</v>
      </c>
      <c r="M29" s="3">
        <v>35</v>
      </c>
      <c r="N29" s="3">
        <v>50</v>
      </c>
      <c r="O29" s="3">
        <v>75</v>
      </c>
      <c r="P29" s="3">
        <v>90</v>
      </c>
      <c r="Q29" s="3">
        <v>140</v>
      </c>
      <c r="R29" s="3">
        <v>220</v>
      </c>
      <c r="S29" s="3">
        <v>330</v>
      </c>
      <c r="T29" s="3">
        <v>665</v>
      </c>
      <c r="U29">
        <v>1405</v>
      </c>
      <c r="V29">
        <v>3080</v>
      </c>
      <c r="W29">
        <v>5345</v>
      </c>
      <c r="X29">
        <v>7050</v>
      </c>
      <c r="Y29">
        <v>6135</v>
      </c>
      <c r="Z29" s="3">
        <v>780</v>
      </c>
      <c r="AB29">
        <v>22680</v>
      </c>
      <c r="AC29" s="3">
        <v>20</v>
      </c>
      <c r="AD29" s="3">
        <v>30</v>
      </c>
      <c r="AE29" s="3">
        <v>10</v>
      </c>
      <c r="AF29" s="3">
        <v>10</v>
      </c>
      <c r="AG29" s="3">
        <v>5</v>
      </c>
      <c r="AH29" s="3">
        <v>10</v>
      </c>
      <c r="AI29" s="3">
        <v>10</v>
      </c>
      <c r="AJ29" s="3">
        <v>15</v>
      </c>
      <c r="AK29" s="3">
        <v>15</v>
      </c>
      <c r="AL29" s="3">
        <v>25</v>
      </c>
      <c r="AM29" s="3">
        <v>25</v>
      </c>
      <c r="AN29" s="3">
        <v>45</v>
      </c>
      <c r="AO29" s="3">
        <v>85</v>
      </c>
      <c r="AP29" s="3">
        <v>140</v>
      </c>
      <c r="AQ29" s="3">
        <v>185</v>
      </c>
      <c r="AR29" s="3">
        <v>435</v>
      </c>
      <c r="AS29">
        <v>1150</v>
      </c>
      <c r="AT29">
        <v>3150</v>
      </c>
      <c r="AU29">
        <v>5505</v>
      </c>
      <c r="AV29">
        <v>6845</v>
      </c>
      <c r="AW29">
        <v>4710</v>
      </c>
      <c r="AX29" s="3">
        <v>250</v>
      </c>
      <c r="AZ29">
        <v>6950</v>
      </c>
      <c r="BA29" s="3">
        <v>5</v>
      </c>
      <c r="BB29" s="3">
        <v>10</v>
      </c>
      <c r="BI29" s="3">
        <v>5</v>
      </c>
      <c r="BJ29" s="3">
        <v>5</v>
      </c>
      <c r="BK29" s="3">
        <v>10</v>
      </c>
      <c r="BL29" s="3">
        <v>15</v>
      </c>
      <c r="BM29" s="3">
        <v>25</v>
      </c>
      <c r="BN29" s="3">
        <v>50</v>
      </c>
      <c r="BO29" s="3">
        <v>55</v>
      </c>
      <c r="BP29" s="3">
        <v>140</v>
      </c>
      <c r="BQ29" s="3">
        <v>400</v>
      </c>
      <c r="BR29">
        <v>1060</v>
      </c>
      <c r="BS29">
        <v>1575</v>
      </c>
      <c r="BT29">
        <v>2035</v>
      </c>
      <c r="BU29">
        <v>1475</v>
      </c>
      <c r="BV29" s="3">
        <v>65</v>
      </c>
      <c r="BX29">
        <v>1820</v>
      </c>
      <c r="CH29" s="3">
        <v>10</v>
      </c>
      <c r="CI29" s="3">
        <v>5</v>
      </c>
      <c r="CJ29" s="3">
        <v>10</v>
      </c>
      <c r="CK29" s="3">
        <v>5</v>
      </c>
      <c r="CL29" s="3">
        <v>15</v>
      </c>
      <c r="CM29" s="3">
        <v>25</v>
      </c>
      <c r="CN29" s="3">
        <v>55</v>
      </c>
      <c r="CO29" s="3">
        <v>155</v>
      </c>
      <c r="CP29" s="3">
        <v>340</v>
      </c>
      <c r="CQ29" s="3">
        <v>410</v>
      </c>
      <c r="CR29" s="3">
        <v>445</v>
      </c>
      <c r="CS29" s="3">
        <v>320</v>
      </c>
      <c r="CT29" s="3">
        <v>15</v>
      </c>
      <c r="CV29" s="3">
        <v>25</v>
      </c>
      <c r="CX29" s="3">
        <v>5</v>
      </c>
    </row>
    <row r="30" spans="1:123" x14ac:dyDescent="0.25">
      <c r="B30" t="s">
        <v>1</v>
      </c>
      <c r="D30">
        <f>SUM(D3:D29)</f>
        <v>739355</v>
      </c>
      <c r="E30">
        <f>SUM(E3:E29)</f>
        <v>295</v>
      </c>
      <c r="F30">
        <f t="shared" ref="F30:Z30" si="0">SUM(F3:F29)</f>
        <v>520</v>
      </c>
      <c r="G30">
        <f t="shared" si="0"/>
        <v>420</v>
      </c>
      <c r="H30">
        <f t="shared" si="0"/>
        <v>490</v>
      </c>
      <c r="I30">
        <f t="shared" si="0"/>
        <v>600</v>
      </c>
      <c r="J30">
        <f t="shared" si="0"/>
        <v>660</v>
      </c>
      <c r="K30">
        <f t="shared" si="0"/>
        <v>845</v>
      </c>
      <c r="L30">
        <f t="shared" si="0"/>
        <v>1095</v>
      </c>
      <c r="M30">
        <f t="shared" si="0"/>
        <v>1225</v>
      </c>
      <c r="N30">
        <f t="shared" si="0"/>
        <v>1695</v>
      </c>
      <c r="O30">
        <f t="shared" si="0"/>
        <v>2065</v>
      </c>
      <c r="P30">
        <f t="shared" si="0"/>
        <v>2990</v>
      </c>
      <c r="Q30">
        <f t="shared" si="0"/>
        <v>4380</v>
      </c>
      <c r="R30">
        <f t="shared" si="0"/>
        <v>7150</v>
      </c>
      <c r="S30">
        <f t="shared" si="0"/>
        <v>10855</v>
      </c>
      <c r="T30">
        <f t="shared" si="0"/>
        <v>18760</v>
      </c>
      <c r="U30">
        <f t="shared" si="0"/>
        <v>39115</v>
      </c>
      <c r="V30">
        <f t="shared" si="0"/>
        <v>87550</v>
      </c>
      <c r="W30">
        <f t="shared" si="0"/>
        <v>151900</v>
      </c>
      <c r="X30">
        <f t="shared" si="0"/>
        <v>201395</v>
      </c>
      <c r="Y30">
        <f t="shared" si="0"/>
        <v>158455</v>
      </c>
      <c r="Z30">
        <f t="shared" si="0"/>
        <v>43120</v>
      </c>
      <c r="AA30">
        <f t="shared" ref="AA30" si="1">SUM(AA3:AA29)</f>
        <v>3785</v>
      </c>
      <c r="AB30">
        <f t="shared" ref="AB30" si="2">SUM(AB3:AB29)</f>
        <v>614555</v>
      </c>
      <c r="AC30">
        <f t="shared" ref="AC30" si="3">SUM(AC3:AC29)</f>
        <v>180</v>
      </c>
      <c r="AD30">
        <f t="shared" ref="AD30" si="4">SUM(AD3:AD29)</f>
        <v>375</v>
      </c>
      <c r="AE30">
        <f t="shared" ref="AE30" si="5">SUM(AE3:AE29)</f>
        <v>145</v>
      </c>
      <c r="AF30">
        <f t="shared" ref="AF30" si="6">SUM(AF3:AF29)</f>
        <v>200</v>
      </c>
      <c r="AG30">
        <f t="shared" ref="AG30" si="7">SUM(AG3:AG29)</f>
        <v>230</v>
      </c>
      <c r="AH30">
        <f t="shared" ref="AH30" si="8">SUM(AH3:AH29)</f>
        <v>270</v>
      </c>
      <c r="AI30">
        <f t="shared" ref="AI30" si="9">SUM(AI3:AI29)</f>
        <v>350</v>
      </c>
      <c r="AJ30">
        <f t="shared" ref="AJ30" si="10">SUM(AJ3:AJ29)</f>
        <v>505</v>
      </c>
      <c r="AK30">
        <f t="shared" ref="AK30" si="11">SUM(AK3:AK29)</f>
        <v>560</v>
      </c>
      <c r="AL30">
        <f t="shared" ref="AL30" si="12">SUM(AL3:AL29)</f>
        <v>780</v>
      </c>
      <c r="AM30">
        <f t="shared" ref="AM30" si="13">SUM(AM3:AM29)</f>
        <v>920</v>
      </c>
      <c r="AN30">
        <f t="shared" ref="AN30" si="14">SUM(AN3:AN29)</f>
        <v>1375</v>
      </c>
      <c r="AO30">
        <f t="shared" ref="AO30" si="15">SUM(AO3:AO29)</f>
        <v>2135</v>
      </c>
      <c r="AP30">
        <f t="shared" ref="AP30" si="16">SUM(AP3:AP29)</f>
        <v>3620</v>
      </c>
      <c r="AQ30">
        <f t="shared" ref="AQ30" si="17">SUM(AQ3:AQ29)</f>
        <v>5410</v>
      </c>
      <c r="AR30">
        <f t="shared" ref="AR30" si="18">SUM(AR3:AR29)</f>
        <v>10905</v>
      </c>
      <c r="AS30">
        <f t="shared" ref="AS30" si="19">SUM(AS3:AS29)</f>
        <v>29275</v>
      </c>
      <c r="AT30">
        <f t="shared" ref="AT30" si="20">SUM(AT3:AT29)</f>
        <v>82880</v>
      </c>
      <c r="AU30">
        <f t="shared" ref="AU30" si="21">SUM(AU3:AU29)</f>
        <v>141710</v>
      </c>
      <c r="AV30">
        <f t="shared" ref="AV30" si="22">SUM(AV3:AV29)</f>
        <v>181320</v>
      </c>
      <c r="AW30">
        <f t="shared" ref="AW30:AX30" si="23">SUM(AW3:AW29)</f>
        <v>124310</v>
      </c>
      <c r="AX30">
        <f t="shared" si="23"/>
        <v>22605</v>
      </c>
    </row>
  </sheetData>
  <mergeCells count="32">
    <mergeCell ref="D1:AA1"/>
    <mergeCell ref="AB1:AY1"/>
    <mergeCell ref="AZ1:BW1"/>
    <mergeCell ref="BX1:CU1"/>
    <mergeCell ref="CV1:DS1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8:B28"/>
    <mergeCell ref="A29:B29"/>
    <mergeCell ref="A23:B23"/>
    <mergeCell ref="A24:B24"/>
    <mergeCell ref="A25:B25"/>
    <mergeCell ref="A26:B26"/>
    <mergeCell ref="A27:B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F67FA-6607-4042-B8C0-3266F61D5A47}">
  <dimension ref="A1:K28"/>
  <sheetViews>
    <sheetView tabSelected="1" workbookViewId="0">
      <selection activeCell="N30" sqref="L19:N30"/>
    </sheetView>
  </sheetViews>
  <sheetFormatPr defaultRowHeight="15" x14ac:dyDescent="0.25"/>
  <cols>
    <col min="3" max="3" width="12.5703125" bestFit="1" customWidth="1"/>
    <col min="4" max="4" width="12.5703125" customWidth="1"/>
    <col min="9" max="9" width="11.7109375" bestFit="1" customWidth="1"/>
  </cols>
  <sheetData>
    <row r="1" spans="1:11" x14ac:dyDescent="0.25">
      <c r="B1" t="s">
        <v>36</v>
      </c>
      <c r="F1" t="s">
        <v>37</v>
      </c>
      <c r="J1" t="s">
        <v>38</v>
      </c>
    </row>
    <row r="2" spans="1:11" x14ac:dyDescent="0.25">
      <c r="B2" t="s">
        <v>34</v>
      </c>
      <c r="C2" t="s">
        <v>35</v>
      </c>
      <c r="F2" t="s">
        <v>34</v>
      </c>
      <c r="G2" t="s">
        <v>35</v>
      </c>
      <c r="J2" t="s">
        <v>34</v>
      </c>
      <c r="K2" t="s">
        <v>35</v>
      </c>
    </row>
    <row r="3" spans="1:11" x14ac:dyDescent="0.25">
      <c r="A3" t="s">
        <v>9</v>
      </c>
      <c r="B3">
        <v>295</v>
      </c>
      <c r="C3">
        <v>180</v>
      </c>
      <c r="E3" t="s">
        <v>9</v>
      </c>
      <c r="F3">
        <f>B3/B$27</f>
        <v>3.9899642255749945E-4</v>
      </c>
      <c r="G3">
        <f>C3/C$27</f>
        <v>2.928948588816298E-4</v>
      </c>
      <c r="I3" t="s">
        <v>9</v>
      </c>
      <c r="J3">
        <f>F3</f>
        <v>3.9899642255749945E-4</v>
      </c>
      <c r="K3">
        <f>G3</f>
        <v>2.928948588816298E-4</v>
      </c>
    </row>
    <row r="4" spans="1:11" x14ac:dyDescent="0.25">
      <c r="A4" t="s">
        <v>10</v>
      </c>
      <c r="B4">
        <v>520</v>
      </c>
      <c r="C4">
        <v>375</v>
      </c>
      <c r="E4" t="s">
        <v>10</v>
      </c>
      <c r="F4">
        <f t="shared" ref="F4:G24" si="0">B4/B$27</f>
        <v>7.0331572789796514E-4</v>
      </c>
      <c r="G4">
        <f t="shared" si="0"/>
        <v>6.1019762267006204E-4</v>
      </c>
      <c r="I4" t="s">
        <v>10</v>
      </c>
      <c r="J4">
        <f>J3+F4</f>
        <v>1.1023121504554645E-3</v>
      </c>
      <c r="K4">
        <f>K3+G4</f>
        <v>9.0309248155169184E-4</v>
      </c>
    </row>
    <row r="5" spans="1:11" x14ac:dyDescent="0.25">
      <c r="A5" t="s">
        <v>11</v>
      </c>
      <c r="B5">
        <v>420</v>
      </c>
      <c r="C5">
        <v>145</v>
      </c>
      <c r="E5" t="s">
        <v>11</v>
      </c>
      <c r="F5">
        <f t="shared" si="0"/>
        <v>5.6806270330220265E-4</v>
      </c>
      <c r="G5">
        <f t="shared" si="0"/>
        <v>2.3594308076575732E-4</v>
      </c>
      <c r="I5" t="s">
        <v>11</v>
      </c>
      <c r="J5">
        <f t="shared" ref="J5:K24" si="1">J4+F5</f>
        <v>1.6703748537576671E-3</v>
      </c>
      <c r="K5">
        <f t="shared" si="1"/>
        <v>1.1390355623174492E-3</v>
      </c>
    </row>
    <row r="6" spans="1:11" x14ac:dyDescent="0.25">
      <c r="A6" t="s">
        <v>12</v>
      </c>
      <c r="B6">
        <v>490</v>
      </c>
      <c r="C6">
        <v>200</v>
      </c>
      <c r="E6" t="s">
        <v>12</v>
      </c>
      <c r="F6">
        <f t="shared" si="0"/>
        <v>6.627398205192364E-4</v>
      </c>
      <c r="G6">
        <f t="shared" si="0"/>
        <v>3.254387320906998E-4</v>
      </c>
      <c r="I6" t="s">
        <v>12</v>
      </c>
      <c r="J6">
        <f t="shared" si="1"/>
        <v>2.3331146742769033E-3</v>
      </c>
      <c r="K6">
        <f t="shared" si="1"/>
        <v>1.464474294408149E-3</v>
      </c>
    </row>
    <row r="7" spans="1:11" x14ac:dyDescent="0.25">
      <c r="A7" t="s">
        <v>13</v>
      </c>
      <c r="B7">
        <v>600</v>
      </c>
      <c r="C7">
        <v>230</v>
      </c>
      <c r="E7" t="s">
        <v>13</v>
      </c>
      <c r="F7">
        <f t="shared" si="0"/>
        <v>8.1151814757457518E-4</v>
      </c>
      <c r="G7">
        <f t="shared" si="0"/>
        <v>3.7425454190430477E-4</v>
      </c>
      <c r="I7" t="s">
        <v>13</v>
      </c>
      <c r="J7">
        <f t="shared" si="1"/>
        <v>3.1446328218514784E-3</v>
      </c>
      <c r="K7">
        <f t="shared" si="1"/>
        <v>1.8387288363124537E-3</v>
      </c>
    </row>
    <row r="8" spans="1:11" x14ac:dyDescent="0.25">
      <c r="A8" t="s">
        <v>14</v>
      </c>
      <c r="B8">
        <v>660</v>
      </c>
      <c r="C8">
        <v>270</v>
      </c>
      <c r="E8" t="s">
        <v>14</v>
      </c>
      <c r="F8">
        <f t="shared" si="0"/>
        <v>8.9266996233203265E-4</v>
      </c>
      <c r="G8">
        <f t="shared" si="0"/>
        <v>4.393422883224447E-4</v>
      </c>
      <c r="I8" t="s">
        <v>14</v>
      </c>
      <c r="J8">
        <f t="shared" si="1"/>
        <v>4.0373027841835111E-3</v>
      </c>
      <c r="K8">
        <f t="shared" si="1"/>
        <v>2.2780711246348983E-3</v>
      </c>
    </row>
    <row r="9" spans="1:11" x14ac:dyDescent="0.25">
      <c r="A9" t="s">
        <v>15</v>
      </c>
      <c r="B9">
        <v>845</v>
      </c>
      <c r="C9">
        <v>350</v>
      </c>
      <c r="E9" t="s">
        <v>15</v>
      </c>
      <c r="F9">
        <f t="shared" si="0"/>
        <v>1.1428880578341933E-3</v>
      </c>
      <c r="G9">
        <f t="shared" si="0"/>
        <v>5.6951778115872458E-4</v>
      </c>
      <c r="I9" t="s">
        <v>15</v>
      </c>
      <c r="J9">
        <f t="shared" si="1"/>
        <v>5.1801908420177041E-3</v>
      </c>
      <c r="K9">
        <f t="shared" si="1"/>
        <v>2.8475889057936231E-3</v>
      </c>
    </row>
    <row r="10" spans="1:11" x14ac:dyDescent="0.25">
      <c r="A10" t="s">
        <v>16</v>
      </c>
      <c r="B10">
        <v>1095</v>
      </c>
      <c r="C10">
        <v>505</v>
      </c>
      <c r="E10" t="s">
        <v>16</v>
      </c>
      <c r="F10">
        <f t="shared" si="0"/>
        <v>1.4810206193235996E-3</v>
      </c>
      <c r="G10">
        <f t="shared" si="0"/>
        <v>8.2173279852901693E-4</v>
      </c>
      <c r="I10" t="s">
        <v>16</v>
      </c>
      <c r="J10">
        <f t="shared" si="1"/>
        <v>6.6612114613413039E-3</v>
      </c>
      <c r="K10">
        <f t="shared" si="1"/>
        <v>3.6693217043226398E-3</v>
      </c>
    </row>
    <row r="11" spans="1:11" x14ac:dyDescent="0.25">
      <c r="A11" t="s">
        <v>17</v>
      </c>
      <c r="B11">
        <v>1225</v>
      </c>
      <c r="C11">
        <v>560</v>
      </c>
      <c r="E11" t="s">
        <v>17</v>
      </c>
      <c r="F11">
        <f t="shared" si="0"/>
        <v>1.6568495512980909E-3</v>
      </c>
      <c r="G11">
        <f t="shared" si="0"/>
        <v>9.1122844985395935E-4</v>
      </c>
      <c r="I11" t="s">
        <v>17</v>
      </c>
      <c r="J11">
        <f t="shared" si="1"/>
        <v>8.3180610126393946E-3</v>
      </c>
      <c r="K11">
        <f t="shared" si="1"/>
        <v>4.5805501541765995E-3</v>
      </c>
    </row>
    <row r="12" spans="1:11" x14ac:dyDescent="0.25">
      <c r="A12" t="s">
        <v>18</v>
      </c>
      <c r="B12">
        <v>1695</v>
      </c>
      <c r="C12">
        <v>780</v>
      </c>
      <c r="E12" t="s">
        <v>18</v>
      </c>
      <c r="F12">
        <f t="shared" si="0"/>
        <v>2.292538766898175E-3</v>
      </c>
      <c r="G12">
        <f t="shared" si="0"/>
        <v>1.2692110551537291E-3</v>
      </c>
      <c r="I12" t="s">
        <v>18</v>
      </c>
      <c r="J12">
        <f t="shared" si="1"/>
        <v>1.061059977953757E-2</v>
      </c>
      <c r="K12">
        <f t="shared" si="1"/>
        <v>5.8497612093303284E-3</v>
      </c>
    </row>
    <row r="13" spans="1:11" x14ac:dyDescent="0.25">
      <c r="A13" t="s">
        <v>19</v>
      </c>
      <c r="B13">
        <v>2065</v>
      </c>
      <c r="C13">
        <v>920</v>
      </c>
      <c r="E13" t="s">
        <v>19</v>
      </c>
      <c r="F13">
        <f t="shared" si="0"/>
        <v>2.7929749579024962E-3</v>
      </c>
      <c r="G13">
        <f t="shared" si="0"/>
        <v>1.4970181676172191E-3</v>
      </c>
      <c r="I13" t="s">
        <v>19</v>
      </c>
      <c r="J13">
        <f t="shared" si="1"/>
        <v>1.3403574737440065E-2</v>
      </c>
      <c r="K13">
        <f t="shared" si="1"/>
        <v>7.3467793769475473E-3</v>
      </c>
    </row>
    <row r="14" spans="1:11" x14ac:dyDescent="0.25">
      <c r="A14" t="s">
        <v>20</v>
      </c>
      <c r="B14">
        <v>2990</v>
      </c>
      <c r="C14">
        <v>1375</v>
      </c>
      <c r="E14" t="s">
        <v>20</v>
      </c>
      <c r="F14">
        <f t="shared" si="0"/>
        <v>4.0440654354132995E-3</v>
      </c>
      <c r="G14">
        <f t="shared" si="0"/>
        <v>2.2373912831235611E-3</v>
      </c>
      <c r="I14" t="s">
        <v>20</v>
      </c>
      <c r="J14">
        <f t="shared" si="1"/>
        <v>1.7447640172853364E-2</v>
      </c>
      <c r="K14">
        <f t="shared" si="1"/>
        <v>9.5841706600711084E-3</v>
      </c>
    </row>
    <row r="15" spans="1:11" x14ac:dyDescent="0.25">
      <c r="A15" t="s">
        <v>21</v>
      </c>
      <c r="B15">
        <v>4380</v>
      </c>
      <c r="C15">
        <v>2135</v>
      </c>
      <c r="E15" t="s">
        <v>21</v>
      </c>
      <c r="F15">
        <f t="shared" si="0"/>
        <v>5.9240824772943982E-3</v>
      </c>
      <c r="G15">
        <f t="shared" si="0"/>
        <v>3.47405846506822E-3</v>
      </c>
      <c r="I15" t="s">
        <v>21</v>
      </c>
      <c r="J15">
        <f t="shared" si="1"/>
        <v>2.3371722650147763E-2</v>
      </c>
      <c r="K15">
        <f t="shared" si="1"/>
        <v>1.3058229125139329E-2</v>
      </c>
    </row>
    <row r="16" spans="1:11" x14ac:dyDescent="0.25">
      <c r="A16" t="s">
        <v>22</v>
      </c>
      <c r="B16">
        <v>7150</v>
      </c>
      <c r="C16">
        <v>3620</v>
      </c>
      <c r="E16" t="s">
        <v>22</v>
      </c>
      <c r="F16">
        <f t="shared" si="0"/>
        <v>9.6705912585970197E-3</v>
      </c>
      <c r="G16">
        <f t="shared" si="0"/>
        <v>5.8904410508416657E-3</v>
      </c>
      <c r="I16" t="s">
        <v>22</v>
      </c>
      <c r="J16">
        <f t="shared" si="1"/>
        <v>3.3042313908744785E-2</v>
      </c>
      <c r="K16">
        <f t="shared" si="1"/>
        <v>1.8948670175980994E-2</v>
      </c>
    </row>
    <row r="17" spans="1:11" x14ac:dyDescent="0.25">
      <c r="A17" t="s">
        <v>23</v>
      </c>
      <c r="B17">
        <v>10855</v>
      </c>
      <c r="C17">
        <v>5410</v>
      </c>
      <c r="E17" t="s">
        <v>23</v>
      </c>
      <c r="F17">
        <f t="shared" si="0"/>
        <v>1.4681715819870022E-2</v>
      </c>
      <c r="G17">
        <f t="shared" si="0"/>
        <v>8.8031177030534289E-3</v>
      </c>
      <c r="I17" t="s">
        <v>23</v>
      </c>
      <c r="J17">
        <f t="shared" si="1"/>
        <v>4.7724029728614809E-2</v>
      </c>
      <c r="K17">
        <f t="shared" si="1"/>
        <v>2.7751787879034422E-2</v>
      </c>
    </row>
    <row r="18" spans="1:11" x14ac:dyDescent="0.25">
      <c r="A18" t="s">
        <v>24</v>
      </c>
      <c r="B18">
        <v>18760</v>
      </c>
      <c r="C18">
        <v>10905</v>
      </c>
      <c r="E18" t="s">
        <v>24</v>
      </c>
      <c r="F18">
        <f t="shared" si="0"/>
        <v>2.537346741416505E-2</v>
      </c>
      <c r="G18">
        <f t="shared" si="0"/>
        <v>1.7744546867245404E-2</v>
      </c>
      <c r="I18" t="s">
        <v>24</v>
      </c>
      <c r="J18">
        <f t="shared" si="1"/>
        <v>7.3097497142779855E-2</v>
      </c>
      <c r="K18">
        <f t="shared" si="1"/>
        <v>4.5496334746279829E-2</v>
      </c>
    </row>
    <row r="19" spans="1:11" x14ac:dyDescent="0.25">
      <c r="A19" t="s">
        <v>25</v>
      </c>
      <c r="B19">
        <v>39115</v>
      </c>
      <c r="C19">
        <v>29275</v>
      </c>
      <c r="E19" t="s">
        <v>25</v>
      </c>
      <c r="F19">
        <f t="shared" si="0"/>
        <v>5.2904220570632508E-2</v>
      </c>
      <c r="G19">
        <f t="shared" si="0"/>
        <v>4.7636094409776182E-2</v>
      </c>
      <c r="I19" t="s">
        <v>25</v>
      </c>
      <c r="J19">
        <f t="shared" si="1"/>
        <v>0.12600171771341237</v>
      </c>
      <c r="K19">
        <f t="shared" si="1"/>
        <v>9.3132429156056018E-2</v>
      </c>
    </row>
    <row r="20" spans="1:11" x14ac:dyDescent="0.25">
      <c r="A20" t="s">
        <v>26</v>
      </c>
      <c r="B20">
        <v>87550</v>
      </c>
      <c r="C20">
        <v>82880</v>
      </c>
      <c r="E20" t="s">
        <v>26</v>
      </c>
      <c r="F20">
        <f t="shared" si="0"/>
        <v>0.11841402303359008</v>
      </c>
      <c r="G20">
        <f t="shared" si="0"/>
        <v>0.13486181057838598</v>
      </c>
      <c r="I20" t="s">
        <v>26</v>
      </c>
      <c r="J20">
        <f t="shared" si="1"/>
        <v>0.24441574074700245</v>
      </c>
      <c r="K20">
        <f t="shared" si="1"/>
        <v>0.22799423973444199</v>
      </c>
    </row>
    <row r="21" spans="1:11" x14ac:dyDescent="0.25">
      <c r="A21" t="s">
        <v>27</v>
      </c>
      <c r="B21">
        <v>151900</v>
      </c>
      <c r="C21">
        <v>141710</v>
      </c>
      <c r="E21" t="s">
        <v>27</v>
      </c>
      <c r="F21">
        <f t="shared" si="0"/>
        <v>0.20544934436096327</v>
      </c>
      <c r="G21">
        <f t="shared" si="0"/>
        <v>0.23058961362286531</v>
      </c>
      <c r="I21" t="s">
        <v>27</v>
      </c>
      <c r="J21">
        <f t="shared" si="1"/>
        <v>0.44986508510796575</v>
      </c>
      <c r="K21">
        <f t="shared" si="1"/>
        <v>0.45858385335730734</v>
      </c>
    </row>
    <row r="22" spans="1:11" x14ac:dyDescent="0.25">
      <c r="A22" t="s">
        <v>28</v>
      </c>
      <c r="B22">
        <v>201395</v>
      </c>
      <c r="C22">
        <v>181320</v>
      </c>
      <c r="E22" t="s">
        <v>28</v>
      </c>
      <c r="F22">
        <f t="shared" si="0"/>
        <v>0.27239282888463595</v>
      </c>
      <c r="G22">
        <f t="shared" si="0"/>
        <v>0.29504275451342843</v>
      </c>
      <c r="I22" t="s">
        <v>28</v>
      </c>
      <c r="J22">
        <f t="shared" si="1"/>
        <v>0.72225791399260175</v>
      </c>
      <c r="K22">
        <f t="shared" si="1"/>
        <v>0.75362660787073577</v>
      </c>
    </row>
    <row r="23" spans="1:11" x14ac:dyDescent="0.25">
      <c r="A23" t="s">
        <v>29</v>
      </c>
      <c r="B23">
        <v>158455</v>
      </c>
      <c r="C23">
        <v>124310</v>
      </c>
      <c r="E23" t="s">
        <v>29</v>
      </c>
      <c r="F23">
        <f t="shared" si="0"/>
        <v>0.21431518012321552</v>
      </c>
      <c r="G23">
        <f t="shared" si="0"/>
        <v>0.20227644393097444</v>
      </c>
      <c r="I23" t="s">
        <v>29</v>
      </c>
      <c r="J23">
        <f t="shared" si="1"/>
        <v>0.93657309411581724</v>
      </c>
      <c r="K23">
        <f t="shared" si="1"/>
        <v>0.9559030518017102</v>
      </c>
    </row>
    <row r="24" spans="1:11" x14ac:dyDescent="0.25">
      <c r="A24" t="s">
        <v>30</v>
      </c>
      <c r="B24">
        <v>43120</v>
      </c>
      <c r="C24">
        <v>22605</v>
      </c>
      <c r="E24" t="s">
        <v>30</v>
      </c>
      <c r="F24">
        <f t="shared" si="0"/>
        <v>5.8321104205692802E-2</v>
      </c>
      <c r="G24">
        <f t="shared" si="0"/>
        <v>3.6782712694551342E-2</v>
      </c>
      <c r="I24" t="s">
        <v>30</v>
      </c>
      <c r="J24">
        <f t="shared" si="1"/>
        <v>0.99489419832151005</v>
      </c>
      <c r="K24">
        <f t="shared" si="1"/>
        <v>0.99268576449626156</v>
      </c>
    </row>
    <row r="26" spans="1:11" x14ac:dyDescent="0.25">
      <c r="A26" t="s">
        <v>31</v>
      </c>
      <c r="B26">
        <f>SUM(B3:B25)</f>
        <v>735580</v>
      </c>
      <c r="C26">
        <f>SUM(C3:C25)</f>
        <v>610060</v>
      </c>
    </row>
    <row r="27" spans="1:11" x14ac:dyDescent="0.25">
      <c r="A27" t="s">
        <v>32</v>
      </c>
      <c r="B27">
        <v>739355</v>
      </c>
      <c r="C27">
        <v>614555</v>
      </c>
    </row>
    <row r="28" spans="1:11" x14ac:dyDescent="0.25">
      <c r="A28" t="s">
        <v>33</v>
      </c>
      <c r="B28">
        <f>1-B26/B27</f>
        <v>5.1058016784900628E-3</v>
      </c>
      <c r="C28">
        <f>1-C26/C27</f>
        <v>7.3142355037384421E-3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Raw data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Henrik Sievertsen</dc:creator>
  <cp:lastModifiedBy>Hans Henrik Sievertsen</cp:lastModifiedBy>
  <dcterms:created xsi:type="dcterms:W3CDTF">2025-04-14T11:10:05Z</dcterms:created>
  <dcterms:modified xsi:type="dcterms:W3CDTF">2025-04-14T11:50:13Z</dcterms:modified>
</cp:coreProperties>
</file>